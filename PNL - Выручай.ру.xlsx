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<sst xmlns="http://schemas.openxmlformats.org/spreadsheetml/2006/main" count="102" uniqueCount="65">
  <si>
    <t>Наименование</t>
  </si>
  <si>
    <t>Май 2026</t>
  </si>
  <si>
    <t>Июнь 2026</t>
  </si>
  <si>
    <t>Июль 2026</t>
  </si>
  <si>
    <t>Август 2026</t>
  </si>
  <si>
    <t>Сентбярь 2026</t>
  </si>
  <si>
    <t>Октябрь 2026</t>
  </si>
  <si>
    <t>Ноябрь 2026</t>
  </si>
  <si>
    <t>Декабрь 2026</t>
  </si>
  <si>
    <t>Январь 2027</t>
  </si>
  <si>
    <t>Февраль 2027</t>
  </si>
  <si>
    <t>Март 2027</t>
  </si>
  <si>
    <t>Апрель 2027</t>
  </si>
  <si>
    <t>Май 2027</t>
  </si>
  <si>
    <t>Июнь 2027</t>
  </si>
  <si>
    <t>Июль 2027</t>
  </si>
  <si>
    <t>Август 2027</t>
  </si>
  <si>
    <t>Сентябрь 2027</t>
  </si>
  <si>
    <t>Октябрь 2027</t>
  </si>
  <si>
    <t>Ноябрь 2027</t>
  </si>
  <si>
    <t>Декабрь 2027</t>
  </si>
  <si>
    <t>Итого</t>
  </si>
  <si>
    <t>План</t>
  </si>
  <si>
    <t>Постоянные расходы</t>
  </si>
  <si>
    <t>ЗП Молодцов</t>
  </si>
  <si>
    <t>ЗП Хасминский</t>
  </si>
  <si>
    <t>SEO специалист 1</t>
  </si>
  <si>
    <t>SEO специалист 2</t>
  </si>
  <si>
    <t>SEO специалист 3</t>
  </si>
  <si>
    <t>Копирайтер</t>
  </si>
  <si>
    <t>Директолог</t>
  </si>
  <si>
    <t>Переменные расходы</t>
  </si>
  <si>
    <t>Яндекс директ</t>
  </si>
  <si>
    <t>Ссылки</t>
  </si>
  <si>
    <t>Накрутка ПФ</t>
  </si>
  <si>
    <t>PR (прокачка бренда)</t>
  </si>
  <si>
    <t>Разработка</t>
  </si>
  <si>
    <t>Общий расходы</t>
  </si>
  <si>
    <t>Прибыль</t>
  </si>
  <si>
    <t>Общий объем</t>
  </si>
  <si>
    <t>Объем трафика</t>
  </si>
  <si>
    <t>Повторный трафик</t>
  </si>
  <si>
    <t>Объем визитов на офферы</t>
  </si>
  <si>
    <t>Конверсия в переход на оффер</t>
  </si>
  <si>
    <t>Объем заявок</t>
  </si>
  <si>
    <t>Конверсия в заявку</t>
  </si>
  <si>
    <t>Объем апрувов</t>
  </si>
  <si>
    <t>Конверсия в апрув</t>
  </si>
  <si>
    <t>Выручка</t>
  </si>
  <si>
    <t>Трафик с рекламы</t>
  </si>
  <si>
    <t>CPC</t>
  </si>
  <si>
    <t>Визиты на офферы</t>
  </si>
  <si>
    <t>Конверсия в визит оффер</t>
  </si>
  <si>
    <t>Кол-во заявок</t>
  </si>
  <si>
    <t>Кол-во апрувов</t>
  </si>
  <si>
    <t>Расход рекламы</t>
  </si>
  <si>
    <t>ROI по рекламе</t>
  </si>
  <si>
    <t>SEO</t>
  </si>
  <si>
    <t>Объем трафика из поиска</t>
  </si>
  <si>
    <t>Расходы</t>
  </si>
  <si>
    <t>ROI</t>
  </si>
  <si>
    <t>PR-мероприятия</t>
  </si>
  <si>
    <t>Трафик</t>
  </si>
  <si>
    <t>Расход</t>
  </si>
  <si>
    <t>ROI по PR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</si>
</sst>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[$ ₽]"/>
  </numFmts>
  <fonts count="9">
    <font>
      <sz val="10.0"/>
      <color rgb="FF000000"/>
      <name val="Arial"/>
      <scheme val="minor"/>
    </font>
    <font>
      <b/>
      <color theme="1"/>
      <name val="Times New Roman"/>
    </font>
    <font/>
    <font>
      <color theme="1"/>
      <name val="Arial"/>
    </font>
    <font>
      <b/>
      <sz val="14.0"/>
      <color theme="1"/>
      <name val="Times New Roman"/>
    </font>
    <font>
      <sz val="11.0"/>
      <color theme="1"/>
      <name val="Times New Roman"/>
    </font>
    <font>
      <color theme="1"/>
      <name val="Times New Roman"/>
    </font>
    <font>
      <b/>
      <sz val="14.0"/>
      <color rgb="FFFFFFFF"/>
      <name val="Times New Roman"/>
    </font>
    <font>
      <b/>
      <color rgb="FFFFFFFF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</fills>
  <borders count="19">
    <border/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</border>
    <border>
      <right style="thick">
        <color rgb="FF000000"/>
      </right>
    </border>
    <border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5" fillId="3" fontId="1" numFmtId="0" xfId="0" applyAlignment="1" applyBorder="1" applyFill="1" applyFont="1">
      <alignment horizontal="center"/>
    </xf>
    <xf borderId="6" fillId="0" fontId="2" numFmtId="0" xfId="0" applyBorder="1" applyFont="1"/>
    <xf borderId="2" fillId="2" fontId="3" numFmtId="0" xfId="0" applyBorder="1" applyFont="1"/>
    <xf borderId="7" fillId="4" fontId="4" numFmtId="0" xfId="0" applyAlignment="1" applyBorder="1" applyFill="1" applyFont="1">
      <alignment horizontal="center" shrinkToFit="0" wrapText="1"/>
    </xf>
    <xf borderId="8" fillId="0" fontId="2" numFmtId="0" xfId="0" applyBorder="1" applyFont="1"/>
    <xf borderId="2" fillId="0" fontId="5" numFmtId="0" xfId="0" applyAlignment="1" applyBorder="1" applyFont="1">
      <alignment shrinkToFit="0" wrapText="1"/>
    </xf>
    <xf borderId="3" fillId="0" fontId="6" numFmtId="164" xfId="0" applyAlignment="1" applyBorder="1" applyFont="1" applyNumberFormat="1">
      <alignment horizontal="center"/>
    </xf>
    <xf borderId="4" fillId="0" fontId="6" numFmtId="164" xfId="0" applyAlignment="1" applyBorder="1" applyFont="1" applyNumberFormat="1">
      <alignment horizontal="center"/>
    </xf>
    <xf borderId="9" fillId="3" fontId="6" numFmtId="164" xfId="0" applyAlignment="1" applyBorder="1" applyFont="1" applyNumberFormat="1">
      <alignment horizontal="center"/>
    </xf>
    <xf borderId="2" fillId="5" fontId="5" numFmtId="0" xfId="0" applyAlignment="1" applyBorder="1" applyFill="1" applyFont="1">
      <alignment shrinkToFit="0" wrapText="1"/>
    </xf>
    <xf borderId="10" fillId="5" fontId="6" numFmtId="164" xfId="0" applyAlignment="1" applyBorder="1" applyFont="1" applyNumberFormat="1">
      <alignment horizontal="center"/>
    </xf>
    <xf borderId="1" fillId="5" fontId="6" numFmtId="164" xfId="0" applyAlignment="1" applyBorder="1" applyFont="1" applyNumberFormat="1">
      <alignment horizontal="center"/>
    </xf>
    <xf borderId="11" fillId="5" fontId="6" numFmtId="164" xfId="0" applyAlignment="1" applyBorder="1" applyFont="1" applyNumberFormat="1">
      <alignment horizontal="center"/>
    </xf>
    <xf borderId="2" fillId="4" fontId="4" numFmtId="0" xfId="0" applyAlignment="1" applyBorder="1" applyFont="1">
      <alignment horizontal="center" shrinkToFit="0" wrapText="1"/>
    </xf>
    <xf borderId="12" fillId="0" fontId="2" numFmtId="0" xfId="0" applyBorder="1" applyFont="1"/>
    <xf borderId="5" fillId="0" fontId="2" numFmtId="0" xfId="0" applyBorder="1" applyFont="1"/>
    <xf borderId="4" fillId="0" fontId="5" numFmtId="0" xfId="0" applyAlignment="1" applyBorder="1" applyFont="1">
      <alignment shrinkToFit="0" wrapText="1"/>
    </xf>
    <xf borderId="2" fillId="0" fontId="6" numFmtId="164" xfId="0" applyAlignment="1" applyBorder="1" applyFont="1" applyNumberFormat="1">
      <alignment horizontal="center"/>
    </xf>
    <xf borderId="7" fillId="0" fontId="6" numFmtId="164" xfId="0" applyAlignment="1" applyBorder="1" applyFont="1" applyNumberFormat="1">
      <alignment horizontal="center"/>
    </xf>
    <xf borderId="6" fillId="0" fontId="6" numFmtId="164" xfId="0" applyAlignment="1" applyBorder="1" applyFont="1" applyNumberFormat="1">
      <alignment horizontal="center"/>
    </xf>
    <xf borderId="2" fillId="0" fontId="6" numFmtId="164" xfId="0" applyAlignment="1" applyBorder="1" applyFont="1" applyNumberFormat="1">
      <alignment horizontal="center" vertical="bottom"/>
    </xf>
    <xf borderId="4" fillId="0" fontId="6" numFmtId="164" xfId="0" applyAlignment="1" applyBorder="1" applyFont="1" applyNumberFormat="1">
      <alignment horizontal="center" vertical="bottom"/>
    </xf>
    <xf borderId="4" fillId="5" fontId="5" numFmtId="0" xfId="0" applyAlignment="1" applyBorder="1" applyFont="1">
      <alignment shrinkToFit="0" wrapText="1"/>
    </xf>
    <xf borderId="3" fillId="5" fontId="6" numFmtId="164" xfId="0" applyAlignment="1" applyBorder="1" applyFont="1" applyNumberFormat="1">
      <alignment horizontal="center"/>
    </xf>
    <xf borderId="4" fillId="5" fontId="6" numFmtId="164" xfId="0" applyAlignment="1" applyBorder="1" applyFont="1" applyNumberFormat="1">
      <alignment horizontal="center"/>
    </xf>
    <xf borderId="5" fillId="5" fontId="6" numFmtId="164" xfId="0" applyAlignment="1" applyBorder="1" applyFont="1" applyNumberFormat="1">
      <alignment horizontal="center"/>
    </xf>
    <xf borderId="1" fillId="0" fontId="5" numFmtId="0" xfId="0" applyAlignment="1" applyBorder="1" applyFont="1">
      <alignment shrinkToFit="0" wrapText="1"/>
    </xf>
    <xf borderId="10" fillId="0" fontId="6" numFmtId="164" xfId="0" applyAlignment="1" applyBorder="1" applyFont="1" applyNumberFormat="1">
      <alignment horizontal="center"/>
    </xf>
    <xf borderId="1" fillId="0" fontId="6" numFmtId="164" xfId="0" applyAlignment="1" applyBorder="1" applyFont="1" applyNumberFormat="1">
      <alignment horizontal="center"/>
    </xf>
    <xf borderId="11" fillId="0" fontId="6" numFmtId="164" xfId="0" applyAlignment="1" applyBorder="1" applyFont="1" applyNumberFormat="1">
      <alignment horizontal="right"/>
    </xf>
    <xf borderId="13" fillId="6" fontId="7" numFmtId="0" xfId="0" applyAlignment="1" applyBorder="1" applyFill="1" applyFont="1">
      <alignment shrinkToFit="0" wrapText="1"/>
    </xf>
    <xf borderId="14" fillId="6" fontId="8" numFmtId="164" xfId="0" applyAlignment="1" applyBorder="1" applyFont="1" applyNumberFormat="1">
      <alignment horizontal="center"/>
    </xf>
    <xf borderId="15" fillId="6" fontId="8" numFmtId="164" xfId="0" applyAlignment="1" applyBorder="1" applyFont="1" applyNumberFormat="1">
      <alignment horizontal="center"/>
    </xf>
    <xf borderId="0" fillId="7" fontId="4" numFmtId="0" xfId="0" applyAlignment="1" applyFill="1" applyFont="1">
      <alignment horizontal="center" shrinkToFit="0" wrapText="1"/>
    </xf>
    <xf borderId="16" fillId="7" fontId="4" numFmtId="0" xfId="0" applyAlignment="1" applyBorder="1" applyFont="1">
      <alignment horizontal="center" shrinkToFit="0" wrapText="1"/>
    </xf>
    <xf borderId="16" fillId="0" fontId="2" numFmtId="0" xfId="0" applyBorder="1" applyFont="1"/>
    <xf borderId="17" fillId="7" fontId="5" numFmtId="0" xfId="0" applyAlignment="1" applyBorder="1" applyFont="1">
      <alignment shrinkToFit="0" wrapText="1"/>
    </xf>
    <xf borderId="0" fillId="2" fontId="6" numFmtId="3" xfId="0" applyAlignment="1" applyFont="1" applyNumberFormat="1">
      <alignment horizontal="center"/>
    </xf>
    <xf borderId="17" fillId="2" fontId="6" numFmtId="3" xfId="0" applyAlignment="1" applyBorder="1" applyFont="1" applyNumberFormat="1">
      <alignment horizontal="center"/>
    </xf>
    <xf borderId="0" fillId="3" fontId="6" numFmtId="3" xfId="0" applyAlignment="1" applyFont="1" applyNumberFormat="1">
      <alignment horizontal="center"/>
    </xf>
    <xf borderId="17" fillId="7" fontId="5" numFmtId="1" xfId="0" applyAlignment="1" applyBorder="1" applyFont="1" applyNumberFormat="1">
      <alignment shrinkToFit="0" wrapText="1"/>
    </xf>
    <xf borderId="17" fillId="7" fontId="5" numFmtId="10" xfId="0" applyAlignment="1" applyBorder="1" applyFont="1" applyNumberFormat="1">
      <alignment shrinkToFit="0" wrapText="1"/>
    </xf>
    <xf borderId="0" fillId="2" fontId="6" numFmtId="10" xfId="0" applyAlignment="1" applyFont="1" applyNumberFormat="1">
      <alignment horizontal="center"/>
    </xf>
    <xf borderId="17" fillId="2" fontId="6" numFmtId="10" xfId="0" applyAlignment="1" applyBorder="1" applyFont="1" applyNumberFormat="1">
      <alignment horizontal="center"/>
    </xf>
    <xf borderId="0" fillId="3" fontId="6" numFmtId="10" xfId="0" applyAlignment="1" applyFont="1" applyNumberFormat="1">
      <alignment horizontal="center"/>
    </xf>
    <xf borderId="17" fillId="7" fontId="5" numFmtId="164" xfId="0" applyAlignment="1" applyBorder="1" applyFont="1" applyNumberFormat="1">
      <alignment shrinkToFit="0" wrapText="1"/>
    </xf>
    <xf borderId="0" fillId="2" fontId="6" numFmtId="164" xfId="0" applyAlignment="1" applyFont="1" applyNumberFormat="1">
      <alignment horizontal="center"/>
    </xf>
    <xf borderId="17" fillId="2" fontId="6" numFmtId="164" xfId="0" applyAlignment="1" applyBorder="1" applyFont="1" applyNumberFormat="1">
      <alignment horizontal="center"/>
    </xf>
    <xf borderId="18" fillId="8" fontId="4" numFmtId="1" xfId="0" applyAlignment="1" applyBorder="1" applyFill="1" applyFont="1" applyNumberFormat="1">
      <alignment horizontal="center" shrinkToFit="0" wrapText="1"/>
    </xf>
    <xf borderId="16" fillId="8" fontId="4" numFmtId="1" xfId="0" applyAlignment="1" applyBorder="1" applyFont="1" applyNumberFormat="1">
      <alignment horizontal="center" shrinkToFit="0" wrapText="1"/>
    </xf>
    <xf borderId="17" fillId="8" fontId="5" numFmtId="1" xfId="0" applyAlignment="1" applyBorder="1" applyFont="1" applyNumberFormat="1">
      <alignment shrinkToFit="0" wrapText="1"/>
    </xf>
    <xf borderId="0" fillId="3" fontId="6" numFmtId="164" xfId="0" applyAlignment="1" applyFont="1" applyNumberFormat="1">
      <alignment horizontal="center"/>
    </xf>
    <xf borderId="17" fillId="8" fontId="5" numFmtId="10" xfId="0" applyAlignment="1" applyBorder="1" applyFont="1" applyNumberFormat="1">
      <alignment shrinkToFit="0" wrapText="1"/>
    </xf>
    <xf borderId="17" fillId="8" fontId="5" numFmtId="164" xfId="0" applyAlignment="1" applyBorder="1" applyFont="1" applyNumberFormat="1">
      <alignment shrinkToFit="0" wrapText="1"/>
    </xf>
    <xf borderId="17" fillId="8" fontId="5" numFmtId="0" xfId="0" applyAlignment="1" applyBorder="1" applyFont="1">
      <alignment shrinkToFit="0" wrapText="1"/>
    </xf>
    <xf borderId="16" fillId="4" fontId="4" numFmtId="1" xfId="0" applyAlignment="1" applyBorder="1" applyFont="1" applyNumberFormat="1">
      <alignment horizontal="center" shrinkToFit="0" wrapText="1"/>
    </xf>
    <xf borderId="17" fillId="4" fontId="5" numFmtId="0" xfId="0" applyAlignment="1" applyBorder="1" applyFont="1">
      <alignment shrinkToFit="0" wrapText="1"/>
    </xf>
    <xf borderId="0" fillId="2" fontId="6" numFmtId="3" xfId="0" applyAlignment="1" applyFont="1" applyNumberFormat="1">
      <alignment horizontal="center"/>
    </xf>
    <xf borderId="0" fillId="2" fontId="6" numFmtId="3" xfId="0" applyAlignment="1" applyFont="1" applyNumberFormat="1">
      <alignment horizontal="center" vertical="bottom"/>
    </xf>
    <xf borderId="0" fillId="2" fontId="6" numFmtId="3" xfId="0" applyAlignment="1" applyFont="1" applyNumberFormat="1">
      <alignment horizontal="center" vertical="bottom"/>
    </xf>
    <xf borderId="17" fillId="4" fontId="5" numFmtId="1" xfId="0" applyAlignment="1" applyBorder="1" applyFont="1" applyNumberFormat="1">
      <alignment shrinkToFit="0" wrapText="1"/>
    </xf>
    <xf borderId="0" fillId="2" fontId="6" numFmtId="1" xfId="0" applyAlignment="1" applyFont="1" applyNumberFormat="1">
      <alignment horizontal="center"/>
    </xf>
    <xf borderId="17" fillId="2" fontId="6" numFmtId="1" xfId="0" applyAlignment="1" applyBorder="1" applyFont="1" applyNumberFormat="1">
      <alignment horizontal="center"/>
    </xf>
    <xf borderId="17" fillId="4" fontId="5" numFmtId="3" xfId="0" applyAlignment="1" applyBorder="1" applyFont="1" applyNumberFormat="1">
      <alignment shrinkToFit="0" wrapText="1"/>
    </xf>
    <xf borderId="17" fillId="4" fontId="5" numFmtId="164" xfId="0" applyAlignment="1" applyBorder="1" applyFont="1" applyNumberFormat="1">
      <alignment shrinkToFit="0" wrapText="1"/>
    </xf>
    <xf borderId="0" fillId="2" fontId="3" numFmtId="164" xfId="0" applyAlignment="1" applyFont="1" applyNumberFormat="1">
      <alignment horizontal="center"/>
    </xf>
    <xf borderId="17" fillId="2" fontId="3" numFmtId="164" xfId="0" applyAlignment="1" applyBorder="1" applyFont="1" applyNumberFormat="1">
      <alignment horizontal="center"/>
    </xf>
    <xf borderId="16" fillId="5" fontId="4" numFmtId="1" xfId="0" applyAlignment="1" applyBorder="1" applyFont="1" applyNumberFormat="1">
      <alignment horizontal="center" shrinkToFit="0" wrapText="1"/>
    </xf>
    <xf borderId="16" fillId="5" fontId="3" numFmtId="1" xfId="0" applyBorder="1" applyFont="1" applyNumberFormat="1"/>
    <xf borderId="17" fillId="5" fontId="5" numFmtId="1" xfId="0" applyAlignment="1" applyBorder="1" applyFont="1" applyNumberFormat="1">
      <alignment shrinkToFit="0" wrapText="1"/>
    </xf>
    <xf borderId="17" fillId="5" fontId="5" numFmtId="10" xfId="0" applyAlignment="1" applyBorder="1" applyFont="1" applyNumberFormat="1">
      <alignment shrinkToFit="0" wrapText="1"/>
    </xf>
    <xf borderId="17" fillId="5" fontId="5" numFmtId="164" xfId="0" applyAlignment="1" applyBorder="1" applyFont="1" applyNumberFormat="1">
      <alignment shrinkToFit="0" wrapText="1"/>
    </xf>
    <xf borderId="17" fillId="5" fontId="5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5" t="s">
        <v>21</v>
      </c>
    </row>
    <row r="2">
      <c r="A2" s="6"/>
      <c r="B2" s="7"/>
      <c r="C2" s="7"/>
      <c r="D2" s="7"/>
      <c r="E2" s="7"/>
      <c r="F2" s="7"/>
      <c r="G2" s="7"/>
      <c r="H2" s="7"/>
      <c r="I2" s="7"/>
      <c r="J2" s="3" t="s">
        <v>22</v>
      </c>
      <c r="K2" s="3" t="s">
        <v>22</v>
      </c>
      <c r="L2" s="3" t="s">
        <v>22</v>
      </c>
      <c r="M2" s="3" t="s">
        <v>22</v>
      </c>
      <c r="N2" s="3" t="s">
        <v>22</v>
      </c>
      <c r="O2" s="3" t="s">
        <v>22</v>
      </c>
      <c r="P2" s="3" t="s">
        <v>22</v>
      </c>
      <c r="Q2" s="3" t="s">
        <v>22</v>
      </c>
      <c r="R2" s="3" t="s">
        <v>22</v>
      </c>
      <c r="S2" s="3" t="s">
        <v>22</v>
      </c>
      <c r="T2" s="3" t="s">
        <v>22</v>
      </c>
      <c r="U2" s="4" t="s">
        <v>22</v>
      </c>
      <c r="V2" s="5" t="s">
        <v>22</v>
      </c>
    </row>
    <row r="3">
      <c r="A3" s="8" t="s">
        <v>23</v>
      </c>
      <c r="B3" s="8" t="s">
        <v>23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>
      <c r="A4" s="10" t="s">
        <v>24</v>
      </c>
      <c r="B4" s="11">
        <v>80000.0</v>
      </c>
      <c r="C4" s="11">
        <v>80000.0</v>
      </c>
      <c r="D4" s="11">
        <v>80000.0</v>
      </c>
      <c r="E4" s="11">
        <v>80000.0</v>
      </c>
      <c r="F4" s="11">
        <v>80000.0</v>
      </c>
      <c r="G4" s="11">
        <v>80000.0</v>
      </c>
      <c r="H4" s="11">
        <v>80000.0</v>
      </c>
      <c r="I4" s="11">
        <v>80000.0</v>
      </c>
      <c r="J4" s="11">
        <v>80000.0</v>
      </c>
      <c r="K4" s="11">
        <v>80000.0</v>
      </c>
      <c r="L4" s="11">
        <v>80000.0</v>
      </c>
      <c r="M4" s="11">
        <v>80000.0</v>
      </c>
      <c r="N4" s="11">
        <v>80000.0</v>
      </c>
      <c r="O4" s="11">
        <v>80000.0</v>
      </c>
      <c r="P4" s="11">
        <v>80000.0</v>
      </c>
      <c r="Q4" s="11">
        <v>80000.0</v>
      </c>
      <c r="R4" s="11">
        <v>80000.0</v>
      </c>
      <c r="S4" s="11">
        <v>80000.0</v>
      </c>
      <c r="T4" s="11">
        <v>80000.0</v>
      </c>
      <c r="U4" s="12">
        <v>80000.0</v>
      </c>
      <c r="V4" s="13">
        <f t="shared" ref="V4:V10" si="1">SUM(B4:U4)</f>
        <v>1600000</v>
      </c>
    </row>
    <row r="5">
      <c r="A5" s="10" t="s">
        <v>25</v>
      </c>
      <c r="B5" s="11">
        <v>15000.0</v>
      </c>
      <c r="C5" s="11">
        <v>15000.0</v>
      </c>
      <c r="D5" s="11">
        <v>15000.0</v>
      </c>
      <c r="E5" s="11">
        <v>15000.0</v>
      </c>
      <c r="F5" s="11">
        <v>15000.0</v>
      </c>
      <c r="G5" s="11">
        <v>15000.0</v>
      </c>
      <c r="H5" s="11">
        <v>15000.0</v>
      </c>
      <c r="I5" s="11">
        <v>15000.0</v>
      </c>
      <c r="J5" s="11">
        <v>15000.0</v>
      </c>
      <c r="K5" s="11">
        <v>15000.0</v>
      </c>
      <c r="L5" s="11">
        <v>15000.0</v>
      </c>
      <c r="M5" s="11">
        <v>15000.0</v>
      </c>
      <c r="N5" s="11">
        <v>15000.0</v>
      </c>
      <c r="O5" s="11">
        <v>15000.0</v>
      </c>
      <c r="P5" s="11">
        <v>15000.0</v>
      </c>
      <c r="Q5" s="11">
        <v>15000.0</v>
      </c>
      <c r="R5" s="11">
        <v>15000.0</v>
      </c>
      <c r="S5" s="11">
        <v>15000.0</v>
      </c>
      <c r="T5" s="11">
        <v>15000.0</v>
      </c>
      <c r="U5" s="12">
        <v>15000.0</v>
      </c>
      <c r="V5" s="13">
        <f t="shared" si="1"/>
        <v>300000</v>
      </c>
    </row>
    <row r="6">
      <c r="A6" s="10" t="s">
        <v>26</v>
      </c>
      <c r="B6" s="11">
        <v>50000.0</v>
      </c>
      <c r="C6" s="11">
        <v>50000.0</v>
      </c>
      <c r="D6" s="11">
        <v>50000.0</v>
      </c>
      <c r="E6" s="11">
        <v>50000.0</v>
      </c>
      <c r="F6" s="11">
        <v>50000.0</v>
      </c>
      <c r="G6" s="11">
        <v>50000.0</v>
      </c>
      <c r="H6" s="11">
        <v>50000.0</v>
      </c>
      <c r="I6" s="11">
        <v>50000.0</v>
      </c>
      <c r="J6" s="11">
        <v>50000.0</v>
      </c>
      <c r="K6" s="11">
        <v>50000.0</v>
      </c>
      <c r="L6" s="11">
        <v>50000.0</v>
      </c>
      <c r="M6" s="11">
        <v>50000.0</v>
      </c>
      <c r="N6" s="11">
        <v>50000.0</v>
      </c>
      <c r="O6" s="11">
        <v>50000.0</v>
      </c>
      <c r="P6" s="11">
        <v>50000.0</v>
      </c>
      <c r="Q6" s="11">
        <v>50000.0</v>
      </c>
      <c r="R6" s="11">
        <v>50000.0</v>
      </c>
      <c r="S6" s="11">
        <v>50000.0</v>
      </c>
      <c r="T6" s="11">
        <v>50000.0</v>
      </c>
      <c r="U6" s="12">
        <v>50000.0</v>
      </c>
      <c r="V6" s="13">
        <f t="shared" si="1"/>
        <v>1000000</v>
      </c>
    </row>
    <row r="7">
      <c r="A7" s="10" t="s">
        <v>27</v>
      </c>
      <c r="B7" s="11">
        <v>0.0</v>
      </c>
      <c r="C7" s="11">
        <v>50000.0</v>
      </c>
      <c r="D7" s="11">
        <v>50000.0</v>
      </c>
      <c r="E7" s="11">
        <v>50000.0</v>
      </c>
      <c r="F7" s="11">
        <v>50000.0</v>
      </c>
      <c r="G7" s="11">
        <v>50000.0</v>
      </c>
      <c r="H7" s="11">
        <v>50000.0</v>
      </c>
      <c r="I7" s="11">
        <v>50000.0</v>
      </c>
      <c r="J7" s="11">
        <v>50000.0</v>
      </c>
      <c r="K7" s="11">
        <v>50000.0</v>
      </c>
      <c r="L7" s="11">
        <v>50000.0</v>
      </c>
      <c r="M7" s="11">
        <v>50000.0</v>
      </c>
      <c r="N7" s="11">
        <v>50000.0</v>
      </c>
      <c r="O7" s="11">
        <v>50000.0</v>
      </c>
      <c r="P7" s="11">
        <v>50000.0</v>
      </c>
      <c r="Q7" s="11">
        <v>50000.0</v>
      </c>
      <c r="R7" s="11">
        <v>50000.0</v>
      </c>
      <c r="S7" s="11">
        <v>50000.0</v>
      </c>
      <c r="T7" s="11">
        <v>50000.0</v>
      </c>
      <c r="U7" s="12">
        <v>50000.0</v>
      </c>
      <c r="V7" s="13">
        <f t="shared" si="1"/>
        <v>950000</v>
      </c>
    </row>
    <row r="8">
      <c r="A8" s="10" t="s">
        <v>28</v>
      </c>
      <c r="B8" s="11">
        <v>0.0</v>
      </c>
      <c r="C8" s="11">
        <v>50000.0</v>
      </c>
      <c r="D8" s="11">
        <v>50000.0</v>
      </c>
      <c r="E8" s="11">
        <v>50000.0</v>
      </c>
      <c r="F8" s="11">
        <v>50000.0</v>
      </c>
      <c r="G8" s="11">
        <v>50000.0</v>
      </c>
      <c r="H8" s="11">
        <v>50000.0</v>
      </c>
      <c r="I8" s="11">
        <v>50000.0</v>
      </c>
      <c r="J8" s="11">
        <v>50000.0</v>
      </c>
      <c r="K8" s="11">
        <v>50000.0</v>
      </c>
      <c r="L8" s="11">
        <v>50000.0</v>
      </c>
      <c r="M8" s="11">
        <v>50000.0</v>
      </c>
      <c r="N8" s="11">
        <v>50000.0</v>
      </c>
      <c r="O8" s="11">
        <v>50000.0</v>
      </c>
      <c r="P8" s="11">
        <v>50000.0</v>
      </c>
      <c r="Q8" s="11">
        <v>50000.0</v>
      </c>
      <c r="R8" s="11">
        <v>50000.0</v>
      </c>
      <c r="S8" s="11">
        <v>50000.0</v>
      </c>
      <c r="T8" s="11">
        <v>50000.0</v>
      </c>
      <c r="U8" s="12">
        <v>50000.0</v>
      </c>
      <c r="V8" s="13">
        <f t="shared" si="1"/>
        <v>950000</v>
      </c>
    </row>
    <row r="9">
      <c r="A9" s="10" t="s">
        <v>29</v>
      </c>
      <c r="B9" s="11">
        <v>30000.0</v>
      </c>
      <c r="C9" s="11">
        <v>30000.0</v>
      </c>
      <c r="D9" s="11">
        <v>30000.0</v>
      </c>
      <c r="E9" s="11">
        <v>30000.0</v>
      </c>
      <c r="F9" s="11">
        <v>30000.0</v>
      </c>
      <c r="G9" s="11">
        <v>50000.0</v>
      </c>
      <c r="H9" s="11">
        <v>50000.0</v>
      </c>
      <c r="I9" s="11">
        <v>50000.0</v>
      </c>
      <c r="J9" s="11">
        <v>50000.0</v>
      </c>
      <c r="K9" s="11">
        <v>50000.0</v>
      </c>
      <c r="L9" s="11">
        <v>50000.0</v>
      </c>
      <c r="M9" s="11">
        <v>50000.0</v>
      </c>
      <c r="N9" s="11">
        <v>50000.0</v>
      </c>
      <c r="O9" s="11">
        <v>50000.0</v>
      </c>
      <c r="P9" s="11">
        <v>50000.0</v>
      </c>
      <c r="Q9" s="11">
        <v>50000.0</v>
      </c>
      <c r="R9" s="11">
        <v>50000.0</v>
      </c>
      <c r="S9" s="11">
        <v>50000.0</v>
      </c>
      <c r="T9" s="11">
        <v>50000.0</v>
      </c>
      <c r="U9" s="12">
        <v>50000.0</v>
      </c>
      <c r="V9" s="13">
        <f t="shared" si="1"/>
        <v>900000</v>
      </c>
    </row>
    <row r="10">
      <c r="A10" s="10" t="s">
        <v>30</v>
      </c>
      <c r="B10" s="11">
        <v>0.0</v>
      </c>
      <c r="C10" s="11">
        <v>50000.0</v>
      </c>
      <c r="D10" s="11">
        <v>50000.0</v>
      </c>
      <c r="E10" s="11">
        <v>50000.0</v>
      </c>
      <c r="F10" s="11">
        <v>50000.0</v>
      </c>
      <c r="G10" s="11">
        <v>50000.0</v>
      </c>
      <c r="H10" s="11">
        <v>50000.0</v>
      </c>
      <c r="I10" s="11">
        <v>50000.0</v>
      </c>
      <c r="J10" s="11">
        <v>50000.0</v>
      </c>
      <c r="K10" s="11">
        <v>50000.0</v>
      </c>
      <c r="L10" s="11">
        <v>50000.0</v>
      </c>
      <c r="M10" s="11">
        <v>50000.0</v>
      </c>
      <c r="N10" s="11">
        <v>50000.0</v>
      </c>
      <c r="O10" s="11">
        <v>50000.0</v>
      </c>
      <c r="P10" s="11">
        <v>50000.0</v>
      </c>
      <c r="Q10" s="11">
        <v>50000.0</v>
      </c>
      <c r="R10" s="11">
        <v>50000.0</v>
      </c>
      <c r="S10" s="11">
        <v>50000.0</v>
      </c>
      <c r="T10" s="11">
        <v>50000.0</v>
      </c>
      <c r="U10" s="12">
        <v>50000.0</v>
      </c>
      <c r="V10" s="13">
        <f t="shared" si="1"/>
        <v>950000</v>
      </c>
    </row>
    <row r="11">
      <c r="A11" s="14" t="s">
        <v>21</v>
      </c>
      <c r="B11" s="15">
        <f t="shared" ref="B11:V11" si="2">SUM(B4:B10)</f>
        <v>175000</v>
      </c>
      <c r="C11" s="15">
        <f t="shared" si="2"/>
        <v>325000</v>
      </c>
      <c r="D11" s="15">
        <f t="shared" si="2"/>
        <v>325000</v>
      </c>
      <c r="E11" s="15">
        <f t="shared" si="2"/>
        <v>325000</v>
      </c>
      <c r="F11" s="15">
        <f t="shared" si="2"/>
        <v>325000</v>
      </c>
      <c r="G11" s="15">
        <f t="shared" si="2"/>
        <v>345000</v>
      </c>
      <c r="H11" s="15">
        <f t="shared" si="2"/>
        <v>345000</v>
      </c>
      <c r="I11" s="15">
        <f t="shared" si="2"/>
        <v>345000</v>
      </c>
      <c r="J11" s="15">
        <f t="shared" si="2"/>
        <v>345000</v>
      </c>
      <c r="K11" s="15">
        <f t="shared" si="2"/>
        <v>345000</v>
      </c>
      <c r="L11" s="15">
        <f t="shared" si="2"/>
        <v>345000</v>
      </c>
      <c r="M11" s="15">
        <f t="shared" si="2"/>
        <v>345000</v>
      </c>
      <c r="N11" s="15">
        <f t="shared" si="2"/>
        <v>345000</v>
      </c>
      <c r="O11" s="15">
        <f t="shared" si="2"/>
        <v>345000</v>
      </c>
      <c r="P11" s="15">
        <f t="shared" si="2"/>
        <v>345000</v>
      </c>
      <c r="Q11" s="15">
        <f t="shared" si="2"/>
        <v>345000</v>
      </c>
      <c r="R11" s="15">
        <f t="shared" si="2"/>
        <v>345000</v>
      </c>
      <c r="S11" s="15">
        <f t="shared" si="2"/>
        <v>345000</v>
      </c>
      <c r="T11" s="15">
        <f t="shared" si="2"/>
        <v>345000</v>
      </c>
      <c r="U11" s="16">
        <f t="shared" si="2"/>
        <v>345000</v>
      </c>
      <c r="V11" s="17">
        <f t="shared" si="2"/>
        <v>6650000</v>
      </c>
    </row>
    <row r="12">
      <c r="A12" s="18" t="s">
        <v>31</v>
      </c>
      <c r="B12" s="18" t="s">
        <v>31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20"/>
    </row>
    <row r="13">
      <c r="A13" s="21" t="s">
        <v>32</v>
      </c>
      <c r="B13" s="11">
        <v>200000.0</v>
      </c>
      <c r="C13" s="11">
        <v>200000.0</v>
      </c>
      <c r="D13" s="11">
        <v>300000.0</v>
      </c>
      <c r="E13" s="11">
        <v>300000.0</v>
      </c>
      <c r="F13" s="11">
        <v>300000.0</v>
      </c>
      <c r="G13" s="22">
        <v>400000.0</v>
      </c>
      <c r="H13" s="22">
        <v>400000.0</v>
      </c>
      <c r="I13" s="23">
        <v>500000.0</v>
      </c>
      <c r="J13" s="23">
        <v>500000.0</v>
      </c>
      <c r="K13" s="23">
        <v>600000.0</v>
      </c>
      <c r="L13" s="23">
        <v>600000.0</v>
      </c>
      <c r="M13" s="23">
        <v>750000.0</v>
      </c>
      <c r="N13" s="23">
        <v>750000.0</v>
      </c>
      <c r="O13" s="23">
        <v>750000.0</v>
      </c>
      <c r="P13" s="23">
        <v>1000000.0</v>
      </c>
      <c r="Q13" s="23">
        <v>1000000.0</v>
      </c>
      <c r="R13" s="23">
        <v>1000000.0</v>
      </c>
      <c r="S13" s="23">
        <v>1000000.0</v>
      </c>
      <c r="T13" s="23">
        <v>1000000.0</v>
      </c>
      <c r="U13" s="24">
        <v>1000000.0</v>
      </c>
      <c r="V13" s="13">
        <f t="shared" ref="V13:V17" si="3">SUM(B13:U13)</f>
        <v>12550000</v>
      </c>
    </row>
    <row r="14">
      <c r="A14" s="21" t="s">
        <v>33</v>
      </c>
      <c r="B14" s="11">
        <v>100000.0</v>
      </c>
      <c r="C14" s="11">
        <v>150000.0</v>
      </c>
      <c r="D14" s="11">
        <v>200000.0</v>
      </c>
      <c r="E14" s="11">
        <v>200000.0</v>
      </c>
      <c r="F14" s="11">
        <v>200000.0</v>
      </c>
      <c r="G14" s="11">
        <v>250000.0</v>
      </c>
      <c r="H14" s="11">
        <v>250000.0</v>
      </c>
      <c r="I14" s="22">
        <v>300000.0</v>
      </c>
      <c r="J14" s="22">
        <v>300000.0</v>
      </c>
      <c r="K14" s="22">
        <v>300000.0</v>
      </c>
      <c r="L14" s="22">
        <v>300000.0</v>
      </c>
      <c r="M14" s="22">
        <v>300000.0</v>
      </c>
      <c r="N14" s="22">
        <v>300000.0</v>
      </c>
      <c r="O14" s="22">
        <v>400000.0</v>
      </c>
      <c r="P14" s="22">
        <v>400000.0</v>
      </c>
      <c r="Q14" s="22">
        <v>400000.0</v>
      </c>
      <c r="R14" s="22">
        <v>400000.0</v>
      </c>
      <c r="S14" s="22">
        <v>400000.0</v>
      </c>
      <c r="T14" s="22">
        <v>400000.0</v>
      </c>
      <c r="U14" s="12">
        <v>400000.0</v>
      </c>
      <c r="V14" s="13">
        <f t="shared" si="3"/>
        <v>5950000</v>
      </c>
    </row>
    <row r="15">
      <c r="A15" s="21" t="s">
        <v>34</v>
      </c>
      <c r="B15" s="11">
        <v>200000.0</v>
      </c>
      <c r="C15" s="11">
        <v>200000.0</v>
      </c>
      <c r="D15" s="11">
        <v>250000.0</v>
      </c>
      <c r="E15" s="11">
        <v>250000.0</v>
      </c>
      <c r="F15" s="11">
        <v>250000.0</v>
      </c>
      <c r="G15" s="11">
        <v>300000.0</v>
      </c>
      <c r="H15" s="11">
        <v>300000.0</v>
      </c>
      <c r="I15" s="11">
        <v>300000.0</v>
      </c>
      <c r="J15" s="22">
        <v>350000.0</v>
      </c>
      <c r="K15" s="22">
        <v>350000.0</v>
      </c>
      <c r="L15" s="22">
        <v>350000.0</v>
      </c>
      <c r="M15" s="22">
        <v>400000.0</v>
      </c>
      <c r="N15" s="22">
        <v>400000.0</v>
      </c>
      <c r="O15" s="22">
        <v>400000.0</v>
      </c>
      <c r="P15" s="22">
        <v>500000.0</v>
      </c>
      <c r="Q15" s="22">
        <v>500000.0</v>
      </c>
      <c r="R15" s="22">
        <v>500000.0</v>
      </c>
      <c r="S15" s="22">
        <v>500000.0</v>
      </c>
      <c r="T15" s="22">
        <v>500000.0</v>
      </c>
      <c r="U15" s="12">
        <v>500000.0</v>
      </c>
      <c r="V15" s="13">
        <f t="shared" si="3"/>
        <v>7300000</v>
      </c>
    </row>
    <row r="16">
      <c r="A16" s="21" t="s">
        <v>35</v>
      </c>
      <c r="B16" s="11">
        <v>100000.0</v>
      </c>
      <c r="C16" s="11">
        <v>100000.0</v>
      </c>
      <c r="D16" s="11">
        <v>100000.0</v>
      </c>
      <c r="E16" s="11">
        <v>150000.0</v>
      </c>
      <c r="F16" s="11">
        <v>150000.0</v>
      </c>
      <c r="G16" s="11">
        <v>150000.0</v>
      </c>
      <c r="H16" s="11">
        <v>200000.0</v>
      </c>
      <c r="I16" s="11">
        <v>200000.0</v>
      </c>
      <c r="J16" s="11">
        <v>200000.0</v>
      </c>
      <c r="K16" s="11">
        <v>200000.0</v>
      </c>
      <c r="L16" s="11">
        <v>200000.0</v>
      </c>
      <c r="M16" s="22">
        <v>250000.0</v>
      </c>
      <c r="N16" s="22">
        <v>250000.0</v>
      </c>
      <c r="O16" s="22">
        <v>250000.0</v>
      </c>
      <c r="P16" s="22">
        <v>250000.0</v>
      </c>
      <c r="Q16" s="22">
        <v>250000.0</v>
      </c>
      <c r="R16" s="22">
        <v>250000.0</v>
      </c>
      <c r="S16" s="22">
        <v>250000.0</v>
      </c>
      <c r="T16" s="22">
        <v>250000.0</v>
      </c>
      <c r="U16" s="12">
        <v>250000.0</v>
      </c>
      <c r="V16" s="13">
        <f t="shared" si="3"/>
        <v>4000000</v>
      </c>
    </row>
    <row r="17">
      <c r="A17" s="21" t="s">
        <v>36</v>
      </c>
      <c r="B17" s="11">
        <v>500000.0</v>
      </c>
      <c r="C17" s="11">
        <v>500000.0</v>
      </c>
      <c r="D17" s="11">
        <v>500000.0</v>
      </c>
      <c r="E17" s="11">
        <v>0.0</v>
      </c>
      <c r="F17" s="11">
        <v>0.0</v>
      </c>
      <c r="G17" s="11">
        <v>0.0</v>
      </c>
      <c r="H17" s="11">
        <v>0.0</v>
      </c>
      <c r="I17" s="22">
        <v>200000.0</v>
      </c>
      <c r="J17" s="22">
        <v>200000.0</v>
      </c>
      <c r="K17" s="22">
        <v>200000.0</v>
      </c>
      <c r="L17" s="22">
        <v>200000.0</v>
      </c>
      <c r="M17" s="22">
        <v>200000.0</v>
      </c>
      <c r="N17" s="22">
        <v>0.0</v>
      </c>
      <c r="O17" s="22">
        <v>0.0</v>
      </c>
      <c r="P17" s="22">
        <v>0.0</v>
      </c>
      <c r="Q17" s="25">
        <v>0.0</v>
      </c>
      <c r="R17" s="25">
        <v>0.0</v>
      </c>
      <c r="S17" s="25">
        <v>0.0</v>
      </c>
      <c r="T17" s="25">
        <v>0.0</v>
      </c>
      <c r="U17" s="26">
        <v>0.0</v>
      </c>
      <c r="V17" s="13">
        <f t="shared" si="3"/>
        <v>2500000</v>
      </c>
    </row>
    <row r="18">
      <c r="A18" s="27" t="s">
        <v>21</v>
      </c>
      <c r="B18" s="28">
        <f t="shared" ref="B18:V18" si="4">SUM(B13:B17)</f>
        <v>1100000</v>
      </c>
      <c r="C18" s="28">
        <f t="shared" si="4"/>
        <v>1150000</v>
      </c>
      <c r="D18" s="28">
        <f t="shared" si="4"/>
        <v>1350000</v>
      </c>
      <c r="E18" s="28">
        <f t="shared" si="4"/>
        <v>900000</v>
      </c>
      <c r="F18" s="28">
        <f t="shared" si="4"/>
        <v>900000</v>
      </c>
      <c r="G18" s="28">
        <f t="shared" si="4"/>
        <v>1100000</v>
      </c>
      <c r="H18" s="28">
        <f t="shared" si="4"/>
        <v>1150000</v>
      </c>
      <c r="I18" s="28">
        <f t="shared" si="4"/>
        <v>1500000</v>
      </c>
      <c r="J18" s="28">
        <f t="shared" si="4"/>
        <v>1550000</v>
      </c>
      <c r="K18" s="28">
        <f t="shared" si="4"/>
        <v>1650000</v>
      </c>
      <c r="L18" s="28">
        <f t="shared" si="4"/>
        <v>1650000</v>
      </c>
      <c r="M18" s="28">
        <f t="shared" si="4"/>
        <v>1900000</v>
      </c>
      <c r="N18" s="28">
        <f t="shared" si="4"/>
        <v>1700000</v>
      </c>
      <c r="O18" s="28">
        <f t="shared" si="4"/>
        <v>1800000</v>
      </c>
      <c r="P18" s="28">
        <f t="shared" si="4"/>
        <v>2150000</v>
      </c>
      <c r="Q18" s="28">
        <f t="shared" si="4"/>
        <v>2150000</v>
      </c>
      <c r="R18" s="28">
        <f t="shared" si="4"/>
        <v>2150000</v>
      </c>
      <c r="S18" s="28">
        <f t="shared" si="4"/>
        <v>2150000</v>
      </c>
      <c r="T18" s="28">
        <f t="shared" si="4"/>
        <v>2150000</v>
      </c>
      <c r="U18" s="29">
        <f t="shared" si="4"/>
        <v>2150000</v>
      </c>
      <c r="V18" s="30">
        <f t="shared" si="4"/>
        <v>32300000</v>
      </c>
    </row>
    <row r="19">
      <c r="A19" s="31" t="s">
        <v>37</v>
      </c>
      <c r="B19" s="32">
        <f t="shared" ref="B19:V19" si="5">B18+B11</f>
        <v>1275000</v>
      </c>
      <c r="C19" s="32">
        <f t="shared" si="5"/>
        <v>1475000</v>
      </c>
      <c r="D19" s="32">
        <f t="shared" si="5"/>
        <v>1675000</v>
      </c>
      <c r="E19" s="32">
        <f t="shared" si="5"/>
        <v>1225000</v>
      </c>
      <c r="F19" s="32">
        <f t="shared" si="5"/>
        <v>1225000</v>
      </c>
      <c r="G19" s="32">
        <f t="shared" si="5"/>
        <v>1445000</v>
      </c>
      <c r="H19" s="32">
        <f t="shared" si="5"/>
        <v>1495000</v>
      </c>
      <c r="I19" s="32">
        <f t="shared" si="5"/>
        <v>1845000</v>
      </c>
      <c r="J19" s="32">
        <f t="shared" si="5"/>
        <v>1895000</v>
      </c>
      <c r="K19" s="32">
        <f t="shared" si="5"/>
        <v>1995000</v>
      </c>
      <c r="L19" s="32">
        <f t="shared" si="5"/>
        <v>1995000</v>
      </c>
      <c r="M19" s="32">
        <f t="shared" si="5"/>
        <v>2245000</v>
      </c>
      <c r="N19" s="32">
        <f t="shared" si="5"/>
        <v>2045000</v>
      </c>
      <c r="O19" s="32">
        <f t="shared" si="5"/>
        <v>2145000</v>
      </c>
      <c r="P19" s="32">
        <f t="shared" si="5"/>
        <v>2495000</v>
      </c>
      <c r="Q19" s="32">
        <f t="shared" si="5"/>
        <v>2495000</v>
      </c>
      <c r="R19" s="32">
        <f t="shared" si="5"/>
        <v>2495000</v>
      </c>
      <c r="S19" s="32">
        <f t="shared" si="5"/>
        <v>2495000</v>
      </c>
      <c r="T19" s="32">
        <f t="shared" si="5"/>
        <v>2495000</v>
      </c>
      <c r="U19" s="33">
        <f t="shared" si="5"/>
        <v>2495000</v>
      </c>
      <c r="V19" s="34">
        <f t="shared" si="5"/>
        <v>38950000</v>
      </c>
    </row>
    <row r="20">
      <c r="A20" s="35" t="s">
        <v>38</v>
      </c>
      <c r="B20" s="36">
        <f t="shared" ref="B20:V20" si="6">B30-B19</f>
        <v>-1147639.402</v>
      </c>
      <c r="C20" s="36">
        <f t="shared" si="6"/>
        <v>-1315882.065</v>
      </c>
      <c r="D20" s="36">
        <f t="shared" si="6"/>
        <v>-1453555</v>
      </c>
      <c r="E20" s="36">
        <f t="shared" si="6"/>
        <v>-883981.1957</v>
      </c>
      <c r="F20" s="36">
        <f t="shared" si="6"/>
        <v>-692709.9348</v>
      </c>
      <c r="G20" s="36">
        <f t="shared" si="6"/>
        <v>-649537.2109</v>
      </c>
      <c r="H20" s="36">
        <f t="shared" si="6"/>
        <v>-424816.6307</v>
      </c>
      <c r="I20" s="36">
        <f t="shared" si="6"/>
        <v>-79616.66459</v>
      </c>
      <c r="J20" s="36">
        <f t="shared" si="6"/>
        <v>-17643.54844</v>
      </c>
      <c r="K20" s="36">
        <f t="shared" si="6"/>
        <v>134657.3141</v>
      </c>
      <c r="L20" s="36">
        <f t="shared" si="6"/>
        <v>450466.5695</v>
      </c>
      <c r="M20" s="36">
        <f t="shared" si="6"/>
        <v>1009744.138</v>
      </c>
      <c r="N20" s="36">
        <f t="shared" si="6"/>
        <v>1864008.9</v>
      </c>
      <c r="O20" s="36">
        <f t="shared" si="6"/>
        <v>2608230.091</v>
      </c>
      <c r="P20" s="36">
        <f t="shared" si="6"/>
        <v>3338006.543</v>
      </c>
      <c r="Q20" s="36">
        <f t="shared" si="6"/>
        <v>4246346.983</v>
      </c>
      <c r="R20" s="36">
        <f t="shared" si="6"/>
        <v>5336355.51</v>
      </c>
      <c r="S20" s="36">
        <f t="shared" si="6"/>
        <v>6797788.909</v>
      </c>
      <c r="T20" s="36">
        <f t="shared" si="6"/>
        <v>8045212.537</v>
      </c>
      <c r="U20" s="37">
        <f t="shared" si="6"/>
        <v>9781711.91</v>
      </c>
      <c r="V20" s="36">
        <f t="shared" si="6"/>
        <v>36947147.75</v>
      </c>
    </row>
    <row r="21">
      <c r="A21" s="38" t="s">
        <v>39</v>
      </c>
      <c r="B21" s="39" t="s">
        <v>39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</row>
    <row r="22">
      <c r="A22" s="41" t="s">
        <v>40</v>
      </c>
      <c r="B22" s="42">
        <f t="shared" ref="B22:U22" si="7">B32+B44+B55</f>
        <v>11570.65217</v>
      </c>
      <c r="C22" s="42">
        <f t="shared" si="7"/>
        <v>12145.65217</v>
      </c>
      <c r="D22" s="42">
        <f t="shared" si="7"/>
        <v>17233.47826</v>
      </c>
      <c r="E22" s="42">
        <f t="shared" si="7"/>
        <v>19388.47826</v>
      </c>
      <c r="F22" s="42">
        <f t="shared" si="7"/>
        <v>23283.22826</v>
      </c>
      <c r="G22" s="42">
        <f t="shared" si="7"/>
        <v>30897.37935</v>
      </c>
      <c r="H22" s="42">
        <f t="shared" si="7"/>
        <v>36476.59185</v>
      </c>
      <c r="I22" s="42">
        <f t="shared" si="7"/>
        <v>48558.70968</v>
      </c>
      <c r="J22" s="42">
        <f t="shared" si="7"/>
        <v>51240.66761</v>
      </c>
      <c r="K22" s="42">
        <f t="shared" si="7"/>
        <v>58538.64741</v>
      </c>
      <c r="L22" s="42">
        <f t="shared" si="7"/>
        <v>66469.74934</v>
      </c>
      <c r="M22" s="42">
        <f t="shared" si="7"/>
        <v>88726.41775</v>
      </c>
      <c r="N22" s="42">
        <f t="shared" si="7"/>
        <v>105310.8217</v>
      </c>
      <c r="O22" s="42">
        <f t="shared" si="7"/>
        <v>126820.3642</v>
      </c>
      <c r="P22" s="42">
        <f t="shared" si="7"/>
        <v>156532.2632</v>
      </c>
      <c r="Q22" s="42">
        <f t="shared" si="7"/>
        <v>179143.0636</v>
      </c>
      <c r="R22" s="42">
        <f t="shared" si="7"/>
        <v>206276.0242</v>
      </c>
      <c r="S22" s="42">
        <f t="shared" si="7"/>
        <v>231007.8642</v>
      </c>
      <c r="T22" s="42">
        <f t="shared" si="7"/>
        <v>259511.9154</v>
      </c>
      <c r="U22" s="43">
        <f t="shared" si="7"/>
        <v>301819.5807</v>
      </c>
      <c r="V22" s="44">
        <f t="shared" ref="V22:V24" si="9">SUM(B22:U22)</f>
        <v>2030951.549</v>
      </c>
    </row>
    <row r="23">
      <c r="A23" s="45" t="s">
        <v>41</v>
      </c>
      <c r="B23" s="42">
        <f>1.7%*B22</f>
        <v>196.701087</v>
      </c>
      <c r="C23" s="42">
        <f>2%*C22</f>
        <v>242.9130435</v>
      </c>
      <c r="D23" s="42">
        <f>2.2%*D22</f>
        <v>379.1365217</v>
      </c>
      <c r="E23" s="42">
        <f>2.5%*E22</f>
        <v>484.7119565</v>
      </c>
      <c r="F23" s="42">
        <f>2.8%*F22</f>
        <v>651.9303913</v>
      </c>
      <c r="G23" s="42">
        <f>3%*G22</f>
        <v>926.9213804</v>
      </c>
      <c r="H23" s="42">
        <f>3.3%*H22</f>
        <v>1203.727531</v>
      </c>
      <c r="I23" s="42">
        <f t="shared" ref="I23:J23" si="8">3.5%*I22</f>
        <v>1699.554839</v>
      </c>
      <c r="J23" s="42">
        <f t="shared" si="8"/>
        <v>1793.423366</v>
      </c>
      <c r="K23" s="42">
        <f>4%*K22</f>
        <v>2341.545897</v>
      </c>
      <c r="L23" s="42">
        <f>4.5%*L22</f>
        <v>2991.13872</v>
      </c>
      <c r="M23" s="42">
        <f>5%*M22</f>
        <v>4436.320887</v>
      </c>
      <c r="N23" s="42">
        <f>6%*N22</f>
        <v>6318.6493</v>
      </c>
      <c r="O23" s="42">
        <f>6.7%*O22</f>
        <v>8496.964404</v>
      </c>
      <c r="P23" s="42">
        <f>7.5%*P22</f>
        <v>11739.91974</v>
      </c>
      <c r="Q23" s="42">
        <f>8.4%*Q22</f>
        <v>15048.01734</v>
      </c>
      <c r="R23" s="42">
        <f>9%*R22</f>
        <v>18564.84218</v>
      </c>
      <c r="S23" s="42">
        <f>10%*S22</f>
        <v>23100.78642</v>
      </c>
      <c r="T23" s="42">
        <f>11%*T22</f>
        <v>28546.31069</v>
      </c>
      <c r="U23" s="43">
        <f>12%*U22</f>
        <v>36218.34968</v>
      </c>
      <c r="V23" s="44">
        <f t="shared" si="9"/>
        <v>165381.8654</v>
      </c>
    </row>
    <row r="24">
      <c r="A24" s="45" t="s">
        <v>42</v>
      </c>
      <c r="B24" s="42">
        <f t="shared" ref="B24:U24" si="10">B34+B45+B56</f>
        <v>2745.380435</v>
      </c>
      <c r="C24" s="42">
        <f t="shared" si="10"/>
        <v>3120.543478</v>
      </c>
      <c r="D24" s="42">
        <f t="shared" si="10"/>
        <v>4471.5</v>
      </c>
      <c r="E24" s="42">
        <f t="shared" si="10"/>
        <v>5364.684783</v>
      </c>
      <c r="F24" s="42">
        <f t="shared" si="10"/>
        <v>6875.157065</v>
      </c>
      <c r="G24" s="42">
        <f t="shared" si="10"/>
        <v>9133.879837</v>
      </c>
      <c r="H24" s="42">
        <f t="shared" si="10"/>
        <v>11127.85346</v>
      </c>
      <c r="I24" s="42">
        <f t="shared" si="10"/>
        <v>15406.68308</v>
      </c>
      <c r="J24" s="42">
        <f t="shared" si="10"/>
        <v>16360.39487</v>
      </c>
      <c r="K24" s="42">
        <f t="shared" si="10"/>
        <v>18583.39087</v>
      </c>
      <c r="L24" s="42">
        <f t="shared" si="10"/>
        <v>21386.54967</v>
      </c>
      <c r="M24" s="42">
        <f t="shared" si="10"/>
        <v>28696.46327</v>
      </c>
      <c r="N24" s="42">
        <f t="shared" si="10"/>
        <v>34551.18718</v>
      </c>
      <c r="O24" s="42">
        <f t="shared" si="10"/>
        <v>42139.74613</v>
      </c>
      <c r="P24" s="42">
        <f t="shared" si="10"/>
        <v>51741.60839</v>
      </c>
      <c r="Q24" s="42">
        <f t="shared" si="10"/>
        <v>59742.10399</v>
      </c>
      <c r="R24" s="42">
        <f t="shared" si="10"/>
        <v>69342.6987</v>
      </c>
      <c r="S24" s="42">
        <f t="shared" si="10"/>
        <v>78123.71293</v>
      </c>
      <c r="T24" s="42">
        <f t="shared" si="10"/>
        <v>88249.97511</v>
      </c>
      <c r="U24" s="43">
        <f t="shared" si="10"/>
        <v>103147.5645</v>
      </c>
      <c r="V24" s="44">
        <f t="shared" si="9"/>
        <v>670311.0778</v>
      </c>
    </row>
    <row r="25">
      <c r="A25" s="46" t="s">
        <v>43</v>
      </c>
      <c r="B25" s="47">
        <f t="shared" ref="B25:U25" si="11">B24/B22</f>
        <v>0.2372710193</v>
      </c>
      <c r="C25" s="47">
        <f t="shared" si="11"/>
        <v>0.2569267943</v>
      </c>
      <c r="D25" s="47">
        <f t="shared" si="11"/>
        <v>0.2594659031</v>
      </c>
      <c r="E25" s="47">
        <f t="shared" si="11"/>
        <v>0.2766944734</v>
      </c>
      <c r="F25" s="47">
        <f t="shared" si="11"/>
        <v>0.2952836689</v>
      </c>
      <c r="G25" s="47">
        <f t="shared" si="11"/>
        <v>0.2956198885</v>
      </c>
      <c r="H25" s="47">
        <f t="shared" si="11"/>
        <v>0.3050683438</v>
      </c>
      <c r="I25" s="47">
        <f t="shared" si="11"/>
        <v>0.317279499</v>
      </c>
      <c r="J25" s="47">
        <f t="shared" si="11"/>
        <v>0.3192853573</v>
      </c>
      <c r="K25" s="47">
        <f t="shared" si="11"/>
        <v>0.3174550779</v>
      </c>
      <c r="L25" s="47">
        <f t="shared" si="11"/>
        <v>0.3217486132</v>
      </c>
      <c r="M25" s="47">
        <f t="shared" si="11"/>
        <v>0.3234263706</v>
      </c>
      <c r="N25" s="47">
        <f t="shared" si="11"/>
        <v>0.3280877182</v>
      </c>
      <c r="O25" s="47">
        <f t="shared" si="11"/>
        <v>0.3322790183</v>
      </c>
      <c r="P25" s="47">
        <f t="shared" si="11"/>
        <v>0.3305491619</v>
      </c>
      <c r="Q25" s="47">
        <f t="shared" si="11"/>
        <v>0.3334882344</v>
      </c>
      <c r="R25" s="47">
        <f t="shared" si="11"/>
        <v>0.3361646075</v>
      </c>
      <c r="S25" s="47">
        <f t="shared" si="11"/>
        <v>0.3381863782</v>
      </c>
      <c r="T25" s="47">
        <f t="shared" si="11"/>
        <v>0.3400613609</v>
      </c>
      <c r="U25" s="48">
        <f t="shared" si="11"/>
        <v>0.3417523949</v>
      </c>
      <c r="V25" s="49">
        <f>IFERROR(V24/V22, "0")</f>
        <v>0.3300477936</v>
      </c>
    </row>
    <row r="26">
      <c r="A26" s="45" t="s">
        <v>44</v>
      </c>
      <c r="B26" s="42">
        <f t="shared" ref="B26:U26" si="12">B36+B47+B58</f>
        <v>578.2744565</v>
      </c>
      <c r="C26" s="42">
        <f t="shared" si="12"/>
        <v>671.3206522</v>
      </c>
      <c r="D26" s="42">
        <f t="shared" si="12"/>
        <v>935.025</v>
      </c>
      <c r="E26" s="42">
        <f t="shared" si="12"/>
        <v>1251.552717</v>
      </c>
      <c r="F26" s="42">
        <f t="shared" si="12"/>
        <v>1786.739755</v>
      </c>
      <c r="G26" s="42">
        <f t="shared" si="12"/>
        <v>2457.727508</v>
      </c>
      <c r="H26" s="42">
        <f t="shared" si="12"/>
        <v>3155.618277</v>
      </c>
      <c r="I26" s="42">
        <f t="shared" si="12"/>
        <v>4629.2956</v>
      </c>
      <c r="J26" s="42">
        <f t="shared" si="12"/>
        <v>4963.094725</v>
      </c>
      <c r="K26" s="42">
        <f t="shared" si="12"/>
        <v>5588.534632</v>
      </c>
      <c r="L26" s="42">
        <f t="shared" si="12"/>
        <v>6569.64021</v>
      </c>
      <c r="M26" s="42">
        <f t="shared" si="12"/>
        <v>8899.196926</v>
      </c>
      <c r="N26" s="42">
        <f t="shared" si="12"/>
        <v>10948.3503</v>
      </c>
      <c r="O26" s="42">
        <f t="shared" si="12"/>
        <v>13604.34593</v>
      </c>
      <c r="P26" s="42">
        <f t="shared" si="12"/>
        <v>16583.47598</v>
      </c>
      <c r="Q26" s="42">
        <f t="shared" si="12"/>
        <v>19383.64944</v>
      </c>
      <c r="R26" s="42">
        <f t="shared" si="12"/>
        <v>22743.85759</v>
      </c>
      <c r="S26" s="42">
        <f t="shared" si="12"/>
        <v>25817.21257</v>
      </c>
      <c r="T26" s="42">
        <f t="shared" si="12"/>
        <v>29361.40433</v>
      </c>
      <c r="U26" s="43">
        <f t="shared" si="12"/>
        <v>34575.56063</v>
      </c>
      <c r="V26" s="44">
        <f>SUM(B26:U26)</f>
        <v>214503.8772</v>
      </c>
    </row>
    <row r="27">
      <c r="A27" s="41" t="s">
        <v>45</v>
      </c>
      <c r="B27" s="47">
        <f t="shared" ref="B27:V27" si="13">B26/B22</f>
        <v>0.04997768906</v>
      </c>
      <c r="C27" s="47">
        <f t="shared" si="13"/>
        <v>0.05527250761</v>
      </c>
      <c r="D27" s="47">
        <f t="shared" si="13"/>
        <v>0.05425631355</v>
      </c>
      <c r="E27" s="47">
        <f t="shared" si="13"/>
        <v>0.06455136399</v>
      </c>
      <c r="F27" s="47">
        <f t="shared" si="13"/>
        <v>0.07673934797</v>
      </c>
      <c r="G27" s="47">
        <f t="shared" si="13"/>
        <v>0.07954485332</v>
      </c>
      <c r="H27" s="47">
        <f t="shared" si="13"/>
        <v>0.08651077628</v>
      </c>
      <c r="I27" s="47">
        <f t="shared" si="13"/>
        <v>0.09533399116</v>
      </c>
      <c r="J27" s="47">
        <f t="shared" si="13"/>
        <v>0.09685851017</v>
      </c>
      <c r="K27" s="47">
        <f t="shared" si="13"/>
        <v>0.09546743697</v>
      </c>
      <c r="L27" s="47">
        <f t="shared" si="13"/>
        <v>0.09883654257</v>
      </c>
      <c r="M27" s="47">
        <f t="shared" si="13"/>
        <v>0.1002992925</v>
      </c>
      <c r="N27" s="47">
        <f t="shared" si="13"/>
        <v>0.1039622531</v>
      </c>
      <c r="O27" s="47">
        <f t="shared" si="13"/>
        <v>0.1072725663</v>
      </c>
      <c r="P27" s="47">
        <f t="shared" si="13"/>
        <v>0.1059428622</v>
      </c>
      <c r="Q27" s="47">
        <f t="shared" si="13"/>
        <v>0.1082020651</v>
      </c>
      <c r="R27" s="47">
        <f t="shared" si="13"/>
        <v>0.1102593366</v>
      </c>
      <c r="S27" s="47">
        <f t="shared" si="13"/>
        <v>0.1117590202</v>
      </c>
      <c r="T27" s="47">
        <f t="shared" si="13"/>
        <v>0.1131408717</v>
      </c>
      <c r="U27" s="48">
        <f t="shared" si="13"/>
        <v>0.1145570494</v>
      </c>
      <c r="V27" s="49">
        <f t="shared" si="13"/>
        <v>0.1056174271</v>
      </c>
    </row>
    <row r="28">
      <c r="A28" s="41" t="s">
        <v>46</v>
      </c>
      <c r="B28" s="42">
        <f t="shared" ref="B28:U28" si="14">B38+B49+B60</f>
        <v>132.7866848</v>
      </c>
      <c r="C28" s="42">
        <f t="shared" si="14"/>
        <v>159.1179348</v>
      </c>
      <c r="D28" s="42">
        <f t="shared" si="14"/>
        <v>218.295</v>
      </c>
      <c r="E28" s="42">
        <f t="shared" si="14"/>
        <v>316.548587</v>
      </c>
      <c r="F28" s="42">
        <f t="shared" si="14"/>
        <v>483.4146848</v>
      </c>
      <c r="G28" s="42">
        <f t="shared" si="14"/>
        <v>676.1645511</v>
      </c>
      <c r="H28" s="42">
        <f t="shared" si="14"/>
        <v>892.0285386</v>
      </c>
      <c r="I28" s="42">
        <f t="shared" si="14"/>
        <v>1347.89022</v>
      </c>
      <c r="J28" s="42">
        <f t="shared" si="14"/>
        <v>1450.396633</v>
      </c>
      <c r="K28" s="42">
        <f t="shared" si="14"/>
        <v>1627.718905</v>
      </c>
      <c r="L28" s="42">
        <f t="shared" si="14"/>
        <v>1926.346095</v>
      </c>
      <c r="M28" s="42">
        <f t="shared" si="14"/>
        <v>2612.430003</v>
      </c>
      <c r="N28" s="42">
        <f t="shared" si="14"/>
        <v>3235.079764</v>
      </c>
      <c r="O28" s="42">
        <f t="shared" si="14"/>
        <v>4041.362954</v>
      </c>
      <c r="P28" s="42">
        <f t="shared" si="14"/>
        <v>4914.200762</v>
      </c>
      <c r="Q28" s="42">
        <f t="shared" si="14"/>
        <v>5767.910479</v>
      </c>
      <c r="R28" s="42">
        <f t="shared" si="14"/>
        <v>6792.36214</v>
      </c>
      <c r="S28" s="42">
        <f t="shared" si="14"/>
        <v>8175.127301</v>
      </c>
      <c r="T28" s="42">
        <f t="shared" si="14"/>
        <v>9328.149041</v>
      </c>
      <c r="U28" s="43">
        <f t="shared" si="14"/>
        <v>11008.00728</v>
      </c>
      <c r="V28" s="44">
        <f>SUM(B28:U28)</f>
        <v>65105.33756</v>
      </c>
    </row>
    <row r="29">
      <c r="A29" s="41" t="s">
        <v>47</v>
      </c>
      <c r="B29" s="47">
        <f t="shared" ref="B29:U29" si="15">B28/B26</f>
        <v>0.2296257137</v>
      </c>
      <c r="C29" s="47">
        <f t="shared" si="15"/>
        <v>0.237022255</v>
      </c>
      <c r="D29" s="47">
        <f t="shared" si="15"/>
        <v>0.2334643459</v>
      </c>
      <c r="E29" s="47">
        <f t="shared" si="15"/>
        <v>0.2529246931</v>
      </c>
      <c r="F29" s="47">
        <f t="shared" si="15"/>
        <v>0.2705568527</v>
      </c>
      <c r="G29" s="47">
        <f t="shared" si="15"/>
        <v>0.2751177862</v>
      </c>
      <c r="H29" s="47">
        <f t="shared" si="15"/>
        <v>0.2826794816</v>
      </c>
      <c r="I29" s="47">
        <f t="shared" si="15"/>
        <v>0.2911652952</v>
      </c>
      <c r="J29" s="47">
        <f t="shared" si="15"/>
        <v>0.2922363391</v>
      </c>
      <c r="K29" s="47">
        <f t="shared" si="15"/>
        <v>0.291260413</v>
      </c>
      <c r="L29" s="47">
        <f t="shared" si="15"/>
        <v>0.2932194204</v>
      </c>
      <c r="M29" s="47">
        <f t="shared" si="15"/>
        <v>0.2935579496</v>
      </c>
      <c r="N29" s="47">
        <f t="shared" si="15"/>
        <v>0.2954855916</v>
      </c>
      <c r="O29" s="47">
        <f t="shared" si="15"/>
        <v>0.2970641128</v>
      </c>
      <c r="P29" s="47">
        <f t="shared" si="15"/>
        <v>0.2963311653</v>
      </c>
      <c r="Q29" s="47">
        <f t="shared" si="15"/>
        <v>0.2975657653</v>
      </c>
      <c r="R29" s="47">
        <f t="shared" si="15"/>
        <v>0.2986460021</v>
      </c>
      <c r="S29" s="47">
        <f t="shared" si="15"/>
        <v>0.3166541422</v>
      </c>
      <c r="T29" s="47">
        <f t="shared" si="15"/>
        <v>0.3177010519</v>
      </c>
      <c r="U29" s="48">
        <f t="shared" si="15"/>
        <v>0.3183753808</v>
      </c>
      <c r="V29" s="49">
        <v>0.4</v>
      </c>
    </row>
    <row r="30">
      <c r="A30" s="50" t="s">
        <v>48</v>
      </c>
      <c r="B30" s="51">
        <f t="shared" ref="B30:U30" si="16">B40+B51+B62</f>
        <v>127360.5978</v>
      </c>
      <c r="C30" s="51">
        <f t="shared" si="16"/>
        <v>159117.9348</v>
      </c>
      <c r="D30" s="51">
        <f t="shared" si="16"/>
        <v>221445</v>
      </c>
      <c r="E30" s="51">
        <f t="shared" si="16"/>
        <v>341018.8043</v>
      </c>
      <c r="F30" s="51">
        <f t="shared" si="16"/>
        <v>532290.0652</v>
      </c>
      <c r="G30" s="51">
        <f t="shared" si="16"/>
        <v>795462.7891</v>
      </c>
      <c r="H30" s="51">
        <f t="shared" si="16"/>
        <v>1070183.369</v>
      </c>
      <c r="I30" s="51">
        <f t="shared" si="16"/>
        <v>1765383.335</v>
      </c>
      <c r="J30" s="51">
        <f t="shared" si="16"/>
        <v>1877356.452</v>
      </c>
      <c r="K30" s="51">
        <f t="shared" si="16"/>
        <v>2129657.314</v>
      </c>
      <c r="L30" s="51">
        <f t="shared" si="16"/>
        <v>2445466.57</v>
      </c>
      <c r="M30" s="51">
        <f t="shared" si="16"/>
        <v>3254744.138</v>
      </c>
      <c r="N30" s="51">
        <f t="shared" si="16"/>
        <v>3909008.9</v>
      </c>
      <c r="O30" s="51">
        <f t="shared" si="16"/>
        <v>4753230.091</v>
      </c>
      <c r="P30" s="51">
        <f t="shared" si="16"/>
        <v>5833006.543</v>
      </c>
      <c r="Q30" s="51">
        <f t="shared" si="16"/>
        <v>6741346.983</v>
      </c>
      <c r="R30" s="51">
        <f t="shared" si="16"/>
        <v>7831355.51</v>
      </c>
      <c r="S30" s="51">
        <f t="shared" si="16"/>
        <v>9292788.909</v>
      </c>
      <c r="T30" s="51">
        <f t="shared" si="16"/>
        <v>10540212.54</v>
      </c>
      <c r="U30" s="52">
        <f t="shared" si="16"/>
        <v>12276711.91</v>
      </c>
      <c r="V30" s="44">
        <f>SUM(B30:U30)</f>
        <v>75897147.75</v>
      </c>
    </row>
    <row r="31">
      <c r="A31" s="53" t="s">
        <v>32</v>
      </c>
      <c r="B31" s="54" t="s">
        <v>32</v>
      </c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</row>
    <row r="32">
      <c r="A32" s="55" t="s">
        <v>49</v>
      </c>
      <c r="B32" s="42">
        <f t="shared" ref="B32:U32" si="17">B13/23</f>
        <v>8695.652174</v>
      </c>
      <c r="C32" s="42">
        <f t="shared" si="17"/>
        <v>8695.652174</v>
      </c>
      <c r="D32" s="42">
        <f t="shared" si="17"/>
        <v>13043.47826</v>
      </c>
      <c r="E32" s="42">
        <f t="shared" si="17"/>
        <v>13043.47826</v>
      </c>
      <c r="F32" s="42">
        <f t="shared" si="17"/>
        <v>13043.47826</v>
      </c>
      <c r="G32" s="42">
        <f t="shared" si="17"/>
        <v>17391.30435</v>
      </c>
      <c r="H32" s="42">
        <f t="shared" si="17"/>
        <v>17391.30435</v>
      </c>
      <c r="I32" s="42">
        <f t="shared" si="17"/>
        <v>21739.13043</v>
      </c>
      <c r="J32" s="42">
        <f t="shared" si="17"/>
        <v>21739.13043</v>
      </c>
      <c r="K32" s="42">
        <f t="shared" si="17"/>
        <v>26086.95652</v>
      </c>
      <c r="L32" s="42">
        <f t="shared" si="17"/>
        <v>26086.95652</v>
      </c>
      <c r="M32" s="42">
        <f t="shared" si="17"/>
        <v>32608.69565</v>
      </c>
      <c r="N32" s="42">
        <f t="shared" si="17"/>
        <v>32608.69565</v>
      </c>
      <c r="O32" s="42">
        <f t="shared" si="17"/>
        <v>32608.69565</v>
      </c>
      <c r="P32" s="42">
        <f t="shared" si="17"/>
        <v>43478.26087</v>
      </c>
      <c r="Q32" s="42">
        <f t="shared" si="17"/>
        <v>43478.26087</v>
      </c>
      <c r="R32" s="42">
        <f t="shared" si="17"/>
        <v>43478.26087</v>
      </c>
      <c r="S32" s="42">
        <f t="shared" si="17"/>
        <v>43478.26087</v>
      </c>
      <c r="T32" s="42">
        <f t="shared" si="17"/>
        <v>43478.26087</v>
      </c>
      <c r="U32" s="43">
        <f t="shared" si="17"/>
        <v>43478.26087</v>
      </c>
      <c r="V32" s="44">
        <f>SUM(B32:U32)</f>
        <v>545652.1739</v>
      </c>
    </row>
    <row r="33">
      <c r="A33" s="55" t="s">
        <v>50</v>
      </c>
      <c r="B33" s="51">
        <f t="shared" ref="B33:V33" si="18">B41/B32</f>
        <v>23</v>
      </c>
      <c r="C33" s="51">
        <f t="shared" si="18"/>
        <v>23</v>
      </c>
      <c r="D33" s="51">
        <f t="shared" si="18"/>
        <v>23</v>
      </c>
      <c r="E33" s="51">
        <f t="shared" si="18"/>
        <v>23</v>
      </c>
      <c r="F33" s="51">
        <f t="shared" si="18"/>
        <v>23</v>
      </c>
      <c r="G33" s="51">
        <f t="shared" si="18"/>
        <v>23</v>
      </c>
      <c r="H33" s="51">
        <f t="shared" si="18"/>
        <v>23</v>
      </c>
      <c r="I33" s="51">
        <f t="shared" si="18"/>
        <v>23</v>
      </c>
      <c r="J33" s="51">
        <f t="shared" si="18"/>
        <v>23</v>
      </c>
      <c r="K33" s="51">
        <f t="shared" si="18"/>
        <v>23</v>
      </c>
      <c r="L33" s="51">
        <f t="shared" si="18"/>
        <v>23</v>
      </c>
      <c r="M33" s="51">
        <f t="shared" si="18"/>
        <v>23</v>
      </c>
      <c r="N33" s="51">
        <f t="shared" si="18"/>
        <v>23</v>
      </c>
      <c r="O33" s="51">
        <f t="shared" si="18"/>
        <v>23</v>
      </c>
      <c r="P33" s="51">
        <f t="shared" si="18"/>
        <v>23</v>
      </c>
      <c r="Q33" s="51">
        <f t="shared" si="18"/>
        <v>23</v>
      </c>
      <c r="R33" s="51">
        <f t="shared" si="18"/>
        <v>23</v>
      </c>
      <c r="S33" s="51">
        <f t="shared" si="18"/>
        <v>23</v>
      </c>
      <c r="T33" s="51">
        <f t="shared" si="18"/>
        <v>23</v>
      </c>
      <c r="U33" s="52">
        <f t="shared" si="18"/>
        <v>23</v>
      </c>
      <c r="V33" s="56">
        <f t="shared" si="18"/>
        <v>23</v>
      </c>
    </row>
    <row r="34">
      <c r="A34" s="55" t="s">
        <v>51</v>
      </c>
      <c r="B34" s="42">
        <f t="shared" ref="B34:U34" si="19">B32*B35</f>
        <v>1739.130435</v>
      </c>
      <c r="C34" s="42">
        <f t="shared" si="19"/>
        <v>1913.043478</v>
      </c>
      <c r="D34" s="42">
        <f t="shared" si="19"/>
        <v>3000</v>
      </c>
      <c r="E34" s="42">
        <f t="shared" si="19"/>
        <v>3130.434783</v>
      </c>
      <c r="F34" s="42">
        <f t="shared" si="19"/>
        <v>3260.869565</v>
      </c>
      <c r="G34" s="42">
        <f t="shared" si="19"/>
        <v>4347.826087</v>
      </c>
      <c r="H34" s="42">
        <f t="shared" si="19"/>
        <v>4347.826087</v>
      </c>
      <c r="I34" s="42">
        <f t="shared" si="19"/>
        <v>5869.565217</v>
      </c>
      <c r="J34" s="42">
        <f t="shared" si="19"/>
        <v>5869.565217</v>
      </c>
      <c r="K34" s="42">
        <f t="shared" si="19"/>
        <v>7043.478261</v>
      </c>
      <c r="L34" s="42">
        <f t="shared" si="19"/>
        <v>7043.478261</v>
      </c>
      <c r="M34" s="42">
        <f t="shared" si="19"/>
        <v>8804.347826</v>
      </c>
      <c r="N34" s="42">
        <f t="shared" si="19"/>
        <v>8804.347826</v>
      </c>
      <c r="O34" s="42">
        <f t="shared" si="19"/>
        <v>8804.347826</v>
      </c>
      <c r="P34" s="42">
        <f t="shared" si="19"/>
        <v>11739.13043</v>
      </c>
      <c r="Q34" s="42">
        <f t="shared" si="19"/>
        <v>11739.13043</v>
      </c>
      <c r="R34" s="42">
        <f t="shared" si="19"/>
        <v>11739.13043</v>
      </c>
      <c r="S34" s="42">
        <f t="shared" si="19"/>
        <v>11739.13043</v>
      </c>
      <c r="T34" s="42">
        <f t="shared" si="19"/>
        <v>11739.13043</v>
      </c>
      <c r="U34" s="43">
        <f t="shared" si="19"/>
        <v>11739.13043</v>
      </c>
      <c r="V34" s="44">
        <f>SUM(B34:U34)</f>
        <v>144413.0435</v>
      </c>
    </row>
    <row r="35">
      <c r="A35" s="57" t="s">
        <v>52</v>
      </c>
      <c r="B35" s="47">
        <v>0.2</v>
      </c>
      <c r="C35" s="47">
        <v>0.22</v>
      </c>
      <c r="D35" s="47">
        <v>0.23</v>
      </c>
      <c r="E35" s="47">
        <v>0.24</v>
      </c>
      <c r="F35" s="47">
        <v>0.25</v>
      </c>
      <c r="G35" s="47">
        <v>0.25</v>
      </c>
      <c r="H35" s="47">
        <v>0.25</v>
      </c>
      <c r="I35" s="47">
        <v>0.27</v>
      </c>
      <c r="J35" s="47">
        <v>0.27</v>
      </c>
      <c r="K35" s="47">
        <v>0.27</v>
      </c>
      <c r="L35" s="47">
        <v>0.27</v>
      </c>
      <c r="M35" s="47">
        <v>0.27</v>
      </c>
      <c r="N35" s="47">
        <v>0.27</v>
      </c>
      <c r="O35" s="47">
        <v>0.27</v>
      </c>
      <c r="P35" s="47">
        <v>0.27</v>
      </c>
      <c r="Q35" s="47">
        <v>0.27</v>
      </c>
      <c r="R35" s="47">
        <v>0.27</v>
      </c>
      <c r="S35" s="47">
        <v>0.27</v>
      </c>
      <c r="T35" s="47">
        <v>0.27</v>
      </c>
      <c r="U35" s="48">
        <v>0.27</v>
      </c>
      <c r="V35" s="49">
        <f>AVERAGE(J35:U35)</f>
        <v>0.27</v>
      </c>
    </row>
    <row r="36">
      <c r="A36" s="55" t="s">
        <v>53</v>
      </c>
      <c r="B36" s="42">
        <f t="shared" ref="B36:U36" si="20">B37*B34</f>
        <v>226.0869565</v>
      </c>
      <c r="C36" s="42">
        <f t="shared" si="20"/>
        <v>248.6956522</v>
      </c>
      <c r="D36" s="42">
        <f t="shared" si="20"/>
        <v>420</v>
      </c>
      <c r="E36" s="42">
        <f t="shared" si="20"/>
        <v>469.5652174</v>
      </c>
      <c r="F36" s="42">
        <f t="shared" si="20"/>
        <v>521.7391304</v>
      </c>
      <c r="G36" s="42">
        <f t="shared" si="20"/>
        <v>782.6086957</v>
      </c>
      <c r="H36" s="42">
        <f t="shared" si="20"/>
        <v>782.6086957</v>
      </c>
      <c r="I36" s="42">
        <f t="shared" si="20"/>
        <v>1291.304348</v>
      </c>
      <c r="J36" s="42">
        <f t="shared" si="20"/>
        <v>1291.304348</v>
      </c>
      <c r="K36" s="42">
        <f t="shared" si="20"/>
        <v>1549.565217</v>
      </c>
      <c r="L36" s="42">
        <f t="shared" si="20"/>
        <v>1549.565217</v>
      </c>
      <c r="M36" s="42">
        <f t="shared" si="20"/>
        <v>1936.956522</v>
      </c>
      <c r="N36" s="42">
        <f t="shared" si="20"/>
        <v>1936.956522</v>
      </c>
      <c r="O36" s="42">
        <f t="shared" si="20"/>
        <v>1936.956522</v>
      </c>
      <c r="P36" s="42">
        <f t="shared" si="20"/>
        <v>2582.608696</v>
      </c>
      <c r="Q36" s="42">
        <f t="shared" si="20"/>
        <v>2582.608696</v>
      </c>
      <c r="R36" s="42">
        <f t="shared" si="20"/>
        <v>2582.608696</v>
      </c>
      <c r="S36" s="42">
        <f t="shared" si="20"/>
        <v>2582.608696</v>
      </c>
      <c r="T36" s="42">
        <f t="shared" si="20"/>
        <v>2582.608696</v>
      </c>
      <c r="U36" s="43">
        <f t="shared" si="20"/>
        <v>2582.608696</v>
      </c>
      <c r="V36" s="44">
        <f>SUM(B36:U36)</f>
        <v>30439.56522</v>
      </c>
    </row>
    <row r="37">
      <c r="A37" s="57" t="s">
        <v>45</v>
      </c>
      <c r="B37" s="47">
        <v>0.13</v>
      </c>
      <c r="C37" s="47">
        <v>0.13</v>
      </c>
      <c r="D37" s="47">
        <v>0.14</v>
      </c>
      <c r="E37" s="47">
        <v>0.15</v>
      </c>
      <c r="F37" s="47">
        <v>0.16</v>
      </c>
      <c r="G37" s="47">
        <v>0.18</v>
      </c>
      <c r="H37" s="47">
        <v>0.18</v>
      </c>
      <c r="I37" s="47">
        <v>0.22</v>
      </c>
      <c r="J37" s="47">
        <v>0.22</v>
      </c>
      <c r="K37" s="47">
        <v>0.22</v>
      </c>
      <c r="L37" s="47">
        <v>0.22</v>
      </c>
      <c r="M37" s="47">
        <v>0.22</v>
      </c>
      <c r="N37" s="47">
        <v>0.22</v>
      </c>
      <c r="O37" s="47">
        <v>0.22</v>
      </c>
      <c r="P37" s="47">
        <v>0.22</v>
      </c>
      <c r="Q37" s="47">
        <v>0.22</v>
      </c>
      <c r="R37" s="47">
        <v>0.22</v>
      </c>
      <c r="S37" s="47">
        <v>0.22</v>
      </c>
      <c r="T37" s="47">
        <v>0.22</v>
      </c>
      <c r="U37" s="48">
        <v>0.22</v>
      </c>
      <c r="V37" s="49">
        <f>IFERROR(V36/V34, "0")</f>
        <v>0.2107812735</v>
      </c>
    </row>
    <row r="38">
      <c r="A38" s="55" t="s">
        <v>54</v>
      </c>
      <c r="B38" s="42">
        <f t="shared" ref="B38:U38" si="21">B39*B36</f>
        <v>27.13043478</v>
      </c>
      <c r="C38" s="42">
        <f t="shared" si="21"/>
        <v>32.33043478</v>
      </c>
      <c r="D38" s="42">
        <f t="shared" si="21"/>
        <v>63</v>
      </c>
      <c r="E38" s="42">
        <f t="shared" si="21"/>
        <v>79.82608696</v>
      </c>
      <c r="F38" s="42">
        <f t="shared" si="21"/>
        <v>99.13043478</v>
      </c>
      <c r="G38" s="42">
        <f t="shared" si="21"/>
        <v>164.3478261</v>
      </c>
      <c r="H38" s="42">
        <f t="shared" si="21"/>
        <v>164.3478261</v>
      </c>
      <c r="I38" s="42">
        <f t="shared" si="21"/>
        <v>322.826087</v>
      </c>
      <c r="J38" s="42">
        <f t="shared" si="21"/>
        <v>322.826087</v>
      </c>
      <c r="K38" s="42">
        <f t="shared" si="21"/>
        <v>387.3913043</v>
      </c>
      <c r="L38" s="42">
        <f t="shared" si="21"/>
        <v>387.3913043</v>
      </c>
      <c r="M38" s="42">
        <f t="shared" si="21"/>
        <v>484.2391304</v>
      </c>
      <c r="N38" s="42">
        <f t="shared" si="21"/>
        <v>484.2391304</v>
      </c>
      <c r="O38" s="42">
        <f t="shared" si="21"/>
        <v>484.2391304</v>
      </c>
      <c r="P38" s="42">
        <f t="shared" si="21"/>
        <v>645.6521739</v>
      </c>
      <c r="Q38" s="42">
        <f t="shared" si="21"/>
        <v>645.6521739</v>
      </c>
      <c r="R38" s="42">
        <f t="shared" si="21"/>
        <v>645.6521739</v>
      </c>
      <c r="S38" s="42">
        <f t="shared" si="21"/>
        <v>645.6521739</v>
      </c>
      <c r="T38" s="42">
        <f t="shared" si="21"/>
        <v>645.6521739</v>
      </c>
      <c r="U38" s="43">
        <f t="shared" si="21"/>
        <v>645.6521739</v>
      </c>
      <c r="V38" s="44">
        <f>SUM(B38:U38)</f>
        <v>7377.178261</v>
      </c>
    </row>
    <row r="39">
      <c r="A39" s="57" t="s">
        <v>47</v>
      </c>
      <c r="B39" s="47">
        <v>0.12</v>
      </c>
      <c r="C39" s="47">
        <v>0.13</v>
      </c>
      <c r="D39" s="47">
        <v>0.15</v>
      </c>
      <c r="E39" s="47">
        <v>0.17</v>
      </c>
      <c r="F39" s="47">
        <v>0.19</v>
      </c>
      <c r="G39" s="47">
        <v>0.21</v>
      </c>
      <c r="H39" s="47">
        <v>0.21</v>
      </c>
      <c r="I39" s="47">
        <v>0.25</v>
      </c>
      <c r="J39" s="47">
        <v>0.25</v>
      </c>
      <c r="K39" s="47">
        <v>0.25</v>
      </c>
      <c r="L39" s="47">
        <v>0.25</v>
      </c>
      <c r="M39" s="47">
        <v>0.25</v>
      </c>
      <c r="N39" s="47">
        <v>0.25</v>
      </c>
      <c r="O39" s="47">
        <v>0.25</v>
      </c>
      <c r="P39" s="47">
        <v>0.25</v>
      </c>
      <c r="Q39" s="47">
        <v>0.25</v>
      </c>
      <c r="R39" s="47">
        <v>0.25</v>
      </c>
      <c r="S39" s="47">
        <v>0.25</v>
      </c>
      <c r="T39" s="47">
        <v>0.25</v>
      </c>
      <c r="U39" s="48">
        <v>0.25</v>
      </c>
      <c r="V39" s="49">
        <f>IFERROR(V38/V36, "0")</f>
        <v>0.2423549157</v>
      </c>
    </row>
    <row r="40">
      <c r="A40" s="58" t="s">
        <v>48</v>
      </c>
      <c r="B40" s="51">
        <f>B38*800</f>
        <v>21704.34783</v>
      </c>
      <c r="C40" s="51">
        <f t="shared" ref="C40:D40" si="22">C38*1000</f>
        <v>32330.43478</v>
      </c>
      <c r="D40" s="51">
        <f t="shared" si="22"/>
        <v>63000</v>
      </c>
      <c r="E40" s="51">
        <f>E38*1200</f>
        <v>95791.30435</v>
      </c>
      <c r="F40" s="51">
        <f>F38*1300</f>
        <v>128869.5652</v>
      </c>
      <c r="G40" s="51">
        <f>G38*1500</f>
        <v>246521.7391</v>
      </c>
      <c r="H40" s="51">
        <f>H38*1700</f>
        <v>279391.3043</v>
      </c>
      <c r="I40" s="51">
        <f t="shared" ref="I40:U40" si="23">I38*2000</f>
        <v>645652.1739</v>
      </c>
      <c r="J40" s="51">
        <f t="shared" si="23"/>
        <v>645652.1739</v>
      </c>
      <c r="K40" s="51">
        <f t="shared" si="23"/>
        <v>774782.6087</v>
      </c>
      <c r="L40" s="51">
        <f t="shared" si="23"/>
        <v>774782.6087</v>
      </c>
      <c r="M40" s="51">
        <f t="shared" si="23"/>
        <v>968478.2609</v>
      </c>
      <c r="N40" s="51">
        <f t="shared" si="23"/>
        <v>968478.2609</v>
      </c>
      <c r="O40" s="51">
        <f t="shared" si="23"/>
        <v>968478.2609</v>
      </c>
      <c r="P40" s="51">
        <f t="shared" si="23"/>
        <v>1291304.348</v>
      </c>
      <c r="Q40" s="51">
        <f t="shared" si="23"/>
        <v>1291304.348</v>
      </c>
      <c r="R40" s="51">
        <f t="shared" si="23"/>
        <v>1291304.348</v>
      </c>
      <c r="S40" s="51">
        <f t="shared" si="23"/>
        <v>1291304.348</v>
      </c>
      <c r="T40" s="51">
        <f t="shared" si="23"/>
        <v>1291304.348</v>
      </c>
      <c r="U40" s="52">
        <f t="shared" si="23"/>
        <v>1291304.348</v>
      </c>
      <c r="V40" s="44">
        <f t="shared" ref="V40:V41" si="25">SUM(B40:U40)</f>
        <v>14361739.13</v>
      </c>
    </row>
    <row r="41">
      <c r="A41" s="58" t="s">
        <v>55</v>
      </c>
      <c r="B41" s="51">
        <f t="shared" ref="B41:U41" si="24">B13</f>
        <v>200000</v>
      </c>
      <c r="C41" s="51">
        <f t="shared" si="24"/>
        <v>200000</v>
      </c>
      <c r="D41" s="51">
        <f t="shared" si="24"/>
        <v>300000</v>
      </c>
      <c r="E41" s="51">
        <f t="shared" si="24"/>
        <v>300000</v>
      </c>
      <c r="F41" s="51">
        <f t="shared" si="24"/>
        <v>300000</v>
      </c>
      <c r="G41" s="51">
        <f t="shared" si="24"/>
        <v>400000</v>
      </c>
      <c r="H41" s="51">
        <f t="shared" si="24"/>
        <v>400000</v>
      </c>
      <c r="I41" s="51">
        <f t="shared" si="24"/>
        <v>500000</v>
      </c>
      <c r="J41" s="51">
        <f t="shared" si="24"/>
        <v>500000</v>
      </c>
      <c r="K41" s="51">
        <f t="shared" si="24"/>
        <v>600000</v>
      </c>
      <c r="L41" s="51">
        <f t="shared" si="24"/>
        <v>600000</v>
      </c>
      <c r="M41" s="51">
        <f t="shared" si="24"/>
        <v>750000</v>
      </c>
      <c r="N41" s="51">
        <f t="shared" si="24"/>
        <v>750000</v>
      </c>
      <c r="O41" s="51">
        <f t="shared" si="24"/>
        <v>750000</v>
      </c>
      <c r="P41" s="51">
        <f t="shared" si="24"/>
        <v>1000000</v>
      </c>
      <c r="Q41" s="51">
        <f t="shared" si="24"/>
        <v>1000000</v>
      </c>
      <c r="R41" s="51">
        <f t="shared" si="24"/>
        <v>1000000</v>
      </c>
      <c r="S41" s="51">
        <f t="shared" si="24"/>
        <v>1000000</v>
      </c>
      <c r="T41" s="51">
        <f t="shared" si="24"/>
        <v>1000000</v>
      </c>
      <c r="U41" s="52">
        <f t="shared" si="24"/>
        <v>1000000</v>
      </c>
      <c r="V41" s="44">
        <f t="shared" si="25"/>
        <v>12550000</v>
      </c>
    </row>
    <row r="42">
      <c r="A42" s="59" t="s">
        <v>56</v>
      </c>
      <c r="B42" s="47">
        <f t="shared" ref="B42:L42" si="26">(B40-B41)/B40</f>
        <v>-8.21474359</v>
      </c>
      <c r="C42" s="47">
        <f t="shared" si="26"/>
        <v>-5.186121571</v>
      </c>
      <c r="D42" s="47">
        <f t="shared" si="26"/>
        <v>-3.761904762</v>
      </c>
      <c r="E42" s="47">
        <f t="shared" si="26"/>
        <v>-2.131808279</v>
      </c>
      <c r="F42" s="47">
        <f t="shared" si="26"/>
        <v>-1.327935223</v>
      </c>
      <c r="G42" s="47">
        <f t="shared" si="26"/>
        <v>-0.6225749559</v>
      </c>
      <c r="H42" s="47">
        <f t="shared" si="26"/>
        <v>-0.4316837846</v>
      </c>
      <c r="I42" s="47">
        <f t="shared" si="26"/>
        <v>0.2255892256</v>
      </c>
      <c r="J42" s="47">
        <f t="shared" si="26"/>
        <v>0.2255892256</v>
      </c>
      <c r="K42" s="47">
        <f t="shared" si="26"/>
        <v>0.2255892256</v>
      </c>
      <c r="L42" s="47">
        <f t="shared" si="26"/>
        <v>0.2255892256</v>
      </c>
      <c r="M42" s="47">
        <f t="shared" ref="M42:V42" si="27">IFERROR((M40-M41)/M40, "0")</f>
        <v>0.2255892256</v>
      </c>
      <c r="N42" s="47">
        <f t="shared" si="27"/>
        <v>0.2255892256</v>
      </c>
      <c r="O42" s="47">
        <f t="shared" si="27"/>
        <v>0.2255892256</v>
      </c>
      <c r="P42" s="47">
        <f t="shared" si="27"/>
        <v>0.2255892256</v>
      </c>
      <c r="Q42" s="47">
        <f t="shared" si="27"/>
        <v>0.2255892256</v>
      </c>
      <c r="R42" s="47">
        <f t="shared" si="27"/>
        <v>0.2255892256</v>
      </c>
      <c r="S42" s="47">
        <f t="shared" si="27"/>
        <v>0.2255892256</v>
      </c>
      <c r="T42" s="47">
        <f t="shared" si="27"/>
        <v>0.2255892256</v>
      </c>
      <c r="U42" s="48">
        <f t="shared" si="27"/>
        <v>0.2255892256</v>
      </c>
      <c r="V42" s="49">
        <f t="shared" si="27"/>
        <v>0.1261503996</v>
      </c>
    </row>
    <row r="43">
      <c r="A43" s="60" t="s">
        <v>57</v>
      </c>
      <c r="B43" s="60" t="s">
        <v>57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>
      <c r="A44" s="61" t="s">
        <v>58</v>
      </c>
      <c r="B44" s="62">
        <v>2875.0</v>
      </c>
      <c r="C44" s="63">
        <f t="shared" ref="C44:D44" si="28">1.2*B44</f>
        <v>3450</v>
      </c>
      <c r="D44" s="63">
        <f t="shared" si="28"/>
        <v>4140</v>
      </c>
      <c r="E44" s="64">
        <f>1.5*D44</f>
        <v>6210</v>
      </c>
      <c r="F44" s="64">
        <f>1.6*E44</f>
        <v>9936</v>
      </c>
      <c r="G44" s="64">
        <f>1.3*F44</f>
        <v>12916.8</v>
      </c>
      <c r="H44" s="64">
        <f t="shared" ref="H44:I44" si="29">1.4*G44</f>
        <v>18083.52</v>
      </c>
      <c r="I44" s="64">
        <f t="shared" si="29"/>
        <v>25316.928</v>
      </c>
      <c r="J44" s="62">
        <f t="shared" ref="J44:K44" si="30">1.1*I44</f>
        <v>27848.6208</v>
      </c>
      <c r="K44" s="62">
        <f t="shared" si="30"/>
        <v>30633.48288</v>
      </c>
      <c r="L44" s="62">
        <f>1.25*K44</f>
        <v>38291.8536</v>
      </c>
      <c r="M44" s="62">
        <f>1.4*L44</f>
        <v>53608.59504</v>
      </c>
      <c r="N44" s="62">
        <f t="shared" ref="N44:O44" si="31">1.3*M44</f>
        <v>69691.17355</v>
      </c>
      <c r="O44" s="62">
        <f t="shared" si="31"/>
        <v>90598.52562</v>
      </c>
      <c r="P44" s="62">
        <f t="shared" ref="P44:R44" si="32">1.2*O44</f>
        <v>108718.2307</v>
      </c>
      <c r="Q44" s="62">
        <f t="shared" si="32"/>
        <v>130461.8769</v>
      </c>
      <c r="R44" s="42">
        <f t="shared" si="32"/>
        <v>156554.2523</v>
      </c>
      <c r="S44" s="42">
        <f t="shared" ref="S44:T44" si="33">1.15*R44</f>
        <v>180037.3901</v>
      </c>
      <c r="T44" s="42">
        <f t="shared" si="33"/>
        <v>207042.9986</v>
      </c>
      <c r="U44" s="43">
        <f>1.2*T44</f>
        <v>248451.5983</v>
      </c>
      <c r="V44" s="44">
        <f t="shared" ref="V44:V45" si="35">SUM(B44:U44)</f>
        <v>1424866.846</v>
      </c>
    </row>
    <row r="45">
      <c r="A45" s="65" t="s">
        <v>51</v>
      </c>
      <c r="B45" s="66">
        <f t="shared" ref="B45:U45" si="34">B44*B46</f>
        <v>1006.25</v>
      </c>
      <c r="C45" s="66">
        <f t="shared" si="34"/>
        <v>1207.5</v>
      </c>
      <c r="D45" s="66">
        <f t="shared" si="34"/>
        <v>1449</v>
      </c>
      <c r="E45" s="66">
        <f t="shared" si="34"/>
        <v>2173.5</v>
      </c>
      <c r="F45" s="66">
        <f t="shared" si="34"/>
        <v>3477.6</v>
      </c>
      <c r="G45" s="66">
        <f t="shared" si="34"/>
        <v>4520.88</v>
      </c>
      <c r="H45" s="66">
        <f t="shared" si="34"/>
        <v>6329.232</v>
      </c>
      <c r="I45" s="66">
        <f t="shared" si="34"/>
        <v>8860.9248</v>
      </c>
      <c r="J45" s="66">
        <f t="shared" si="34"/>
        <v>9747.01728</v>
      </c>
      <c r="K45" s="66">
        <f t="shared" si="34"/>
        <v>10721.71901</v>
      </c>
      <c r="L45" s="66">
        <f t="shared" si="34"/>
        <v>13402.14876</v>
      </c>
      <c r="M45" s="66">
        <f t="shared" si="34"/>
        <v>18763.00826</v>
      </c>
      <c r="N45" s="66">
        <f t="shared" si="34"/>
        <v>24391.91074</v>
      </c>
      <c r="O45" s="66">
        <f t="shared" si="34"/>
        <v>31709.48397</v>
      </c>
      <c r="P45" s="66">
        <f t="shared" si="34"/>
        <v>38051.38076</v>
      </c>
      <c r="Q45" s="66">
        <f t="shared" si="34"/>
        <v>45661.65691</v>
      </c>
      <c r="R45" s="66">
        <f t="shared" si="34"/>
        <v>54793.98829</v>
      </c>
      <c r="S45" s="66">
        <f t="shared" si="34"/>
        <v>63013.08654</v>
      </c>
      <c r="T45" s="66">
        <f t="shared" si="34"/>
        <v>72465.04952</v>
      </c>
      <c r="U45" s="67">
        <f t="shared" si="34"/>
        <v>86958.05942</v>
      </c>
      <c r="V45" s="44">
        <f t="shared" si="35"/>
        <v>498703.3963</v>
      </c>
    </row>
    <row r="46">
      <c r="A46" s="65" t="s">
        <v>52</v>
      </c>
      <c r="B46" s="47">
        <v>0.35</v>
      </c>
      <c r="C46" s="47">
        <v>0.35</v>
      </c>
      <c r="D46" s="47">
        <v>0.35</v>
      </c>
      <c r="E46" s="47">
        <v>0.35</v>
      </c>
      <c r="F46" s="47">
        <v>0.35</v>
      </c>
      <c r="G46" s="47">
        <v>0.35</v>
      </c>
      <c r="H46" s="47">
        <v>0.35</v>
      </c>
      <c r="I46" s="47">
        <v>0.35</v>
      </c>
      <c r="J46" s="47">
        <v>0.35</v>
      </c>
      <c r="K46" s="47">
        <v>0.35</v>
      </c>
      <c r="L46" s="47">
        <v>0.35</v>
      </c>
      <c r="M46" s="47">
        <v>0.35</v>
      </c>
      <c r="N46" s="47">
        <v>0.35</v>
      </c>
      <c r="O46" s="47">
        <v>0.35</v>
      </c>
      <c r="P46" s="47">
        <v>0.35</v>
      </c>
      <c r="Q46" s="47">
        <v>0.35</v>
      </c>
      <c r="R46" s="47">
        <v>0.35</v>
      </c>
      <c r="S46" s="47">
        <v>0.35</v>
      </c>
      <c r="T46" s="47">
        <v>0.35</v>
      </c>
      <c r="U46" s="48">
        <v>0.35</v>
      </c>
      <c r="V46" s="49">
        <v>0.35</v>
      </c>
    </row>
    <row r="47">
      <c r="A47" s="68" t="s">
        <v>53</v>
      </c>
      <c r="B47" s="42">
        <f t="shared" ref="B47:U47" si="36">B46*B45</f>
        <v>352.1875</v>
      </c>
      <c r="C47" s="42">
        <f t="shared" si="36"/>
        <v>422.625</v>
      </c>
      <c r="D47" s="42">
        <f t="shared" si="36"/>
        <v>507.15</v>
      </c>
      <c r="E47" s="42">
        <f t="shared" si="36"/>
        <v>760.725</v>
      </c>
      <c r="F47" s="42">
        <f t="shared" si="36"/>
        <v>1217.16</v>
      </c>
      <c r="G47" s="42">
        <f t="shared" si="36"/>
        <v>1582.308</v>
      </c>
      <c r="H47" s="42">
        <f t="shared" si="36"/>
        <v>2215.2312</v>
      </c>
      <c r="I47" s="42">
        <f t="shared" si="36"/>
        <v>3101.32368</v>
      </c>
      <c r="J47" s="42">
        <f t="shared" si="36"/>
        <v>3411.456048</v>
      </c>
      <c r="K47" s="42">
        <f t="shared" si="36"/>
        <v>3752.601653</v>
      </c>
      <c r="L47" s="42">
        <f t="shared" si="36"/>
        <v>4690.752066</v>
      </c>
      <c r="M47" s="42">
        <f t="shared" si="36"/>
        <v>6567.052892</v>
      </c>
      <c r="N47" s="42">
        <f t="shared" si="36"/>
        <v>8537.16876</v>
      </c>
      <c r="O47" s="42">
        <f t="shared" si="36"/>
        <v>11098.31939</v>
      </c>
      <c r="P47" s="42">
        <f t="shared" si="36"/>
        <v>13317.98327</v>
      </c>
      <c r="Q47" s="42">
        <f t="shared" si="36"/>
        <v>15981.57992</v>
      </c>
      <c r="R47" s="42">
        <f t="shared" si="36"/>
        <v>19177.8959</v>
      </c>
      <c r="S47" s="42">
        <f t="shared" si="36"/>
        <v>22054.58029</v>
      </c>
      <c r="T47" s="42">
        <f t="shared" si="36"/>
        <v>25362.76733</v>
      </c>
      <c r="U47" s="43">
        <f t="shared" si="36"/>
        <v>30435.3208</v>
      </c>
      <c r="V47" s="44">
        <f>SUM(B47:U47)</f>
        <v>174546.1887</v>
      </c>
    </row>
    <row r="48">
      <c r="A48" s="65" t="s">
        <v>45</v>
      </c>
      <c r="B48" s="47">
        <f t="shared" ref="B48:V48" si="37">IFERROR(B47/B45, "0")</f>
        <v>0.35</v>
      </c>
      <c r="C48" s="47">
        <f t="shared" si="37"/>
        <v>0.35</v>
      </c>
      <c r="D48" s="47">
        <f t="shared" si="37"/>
        <v>0.35</v>
      </c>
      <c r="E48" s="47">
        <f t="shared" si="37"/>
        <v>0.35</v>
      </c>
      <c r="F48" s="47">
        <f t="shared" si="37"/>
        <v>0.35</v>
      </c>
      <c r="G48" s="47">
        <f t="shared" si="37"/>
        <v>0.35</v>
      </c>
      <c r="H48" s="47">
        <f t="shared" si="37"/>
        <v>0.35</v>
      </c>
      <c r="I48" s="47">
        <f t="shared" si="37"/>
        <v>0.35</v>
      </c>
      <c r="J48" s="47">
        <f t="shared" si="37"/>
        <v>0.35</v>
      </c>
      <c r="K48" s="47">
        <f t="shared" si="37"/>
        <v>0.35</v>
      </c>
      <c r="L48" s="47">
        <f t="shared" si="37"/>
        <v>0.35</v>
      </c>
      <c r="M48" s="47">
        <f t="shared" si="37"/>
        <v>0.35</v>
      </c>
      <c r="N48" s="47">
        <f t="shared" si="37"/>
        <v>0.35</v>
      </c>
      <c r="O48" s="47">
        <f t="shared" si="37"/>
        <v>0.35</v>
      </c>
      <c r="P48" s="47">
        <f t="shared" si="37"/>
        <v>0.35</v>
      </c>
      <c r="Q48" s="47">
        <f t="shared" si="37"/>
        <v>0.35</v>
      </c>
      <c r="R48" s="47">
        <f t="shared" si="37"/>
        <v>0.35</v>
      </c>
      <c r="S48" s="47">
        <f t="shared" si="37"/>
        <v>0.35</v>
      </c>
      <c r="T48" s="47">
        <f t="shared" si="37"/>
        <v>0.35</v>
      </c>
      <c r="U48" s="48">
        <f t="shared" si="37"/>
        <v>0.35</v>
      </c>
      <c r="V48" s="49">
        <f t="shared" si="37"/>
        <v>0.35</v>
      </c>
    </row>
    <row r="49">
      <c r="A49" s="65" t="s">
        <v>54</v>
      </c>
      <c r="B49" s="42">
        <f t="shared" ref="B49:U49" si="38">B47*B50</f>
        <v>105.65625</v>
      </c>
      <c r="C49" s="42">
        <f t="shared" si="38"/>
        <v>126.7875</v>
      </c>
      <c r="D49" s="42">
        <f t="shared" si="38"/>
        <v>152.145</v>
      </c>
      <c r="E49" s="42">
        <f t="shared" si="38"/>
        <v>228.2175</v>
      </c>
      <c r="F49" s="42">
        <f t="shared" si="38"/>
        <v>365.148</v>
      </c>
      <c r="G49" s="42">
        <f t="shared" si="38"/>
        <v>474.6924</v>
      </c>
      <c r="H49" s="42">
        <f t="shared" si="38"/>
        <v>664.56936</v>
      </c>
      <c r="I49" s="42">
        <f t="shared" si="38"/>
        <v>930.397104</v>
      </c>
      <c r="J49" s="42">
        <f t="shared" si="38"/>
        <v>1023.436814</v>
      </c>
      <c r="K49" s="42">
        <f t="shared" si="38"/>
        <v>1125.780496</v>
      </c>
      <c r="L49" s="42">
        <f t="shared" si="38"/>
        <v>1407.22562</v>
      </c>
      <c r="M49" s="42">
        <f t="shared" si="38"/>
        <v>1970.115868</v>
      </c>
      <c r="N49" s="42">
        <f t="shared" si="38"/>
        <v>2561.150628</v>
      </c>
      <c r="O49" s="42">
        <f t="shared" si="38"/>
        <v>3329.495816</v>
      </c>
      <c r="P49" s="42">
        <f t="shared" si="38"/>
        <v>3995.39498</v>
      </c>
      <c r="Q49" s="42">
        <f t="shared" si="38"/>
        <v>4794.473976</v>
      </c>
      <c r="R49" s="42">
        <f t="shared" si="38"/>
        <v>5753.368771</v>
      </c>
      <c r="S49" s="42">
        <f t="shared" si="38"/>
        <v>7057.465692</v>
      </c>
      <c r="T49" s="42">
        <f t="shared" si="38"/>
        <v>8116.085546</v>
      </c>
      <c r="U49" s="43">
        <f t="shared" si="38"/>
        <v>9739.302655</v>
      </c>
      <c r="V49" s="44">
        <f>SUM(B49:U49)</f>
        <v>53920.90998</v>
      </c>
    </row>
    <row r="50">
      <c r="A50" s="65" t="s">
        <v>47</v>
      </c>
      <c r="B50" s="47">
        <v>0.3</v>
      </c>
      <c r="C50" s="47">
        <v>0.3</v>
      </c>
      <c r="D50" s="47">
        <v>0.3</v>
      </c>
      <c r="E50" s="47">
        <v>0.3</v>
      </c>
      <c r="F50" s="47">
        <v>0.3</v>
      </c>
      <c r="G50" s="47">
        <v>0.3</v>
      </c>
      <c r="H50" s="47">
        <v>0.3</v>
      </c>
      <c r="I50" s="47">
        <v>0.3</v>
      </c>
      <c r="J50" s="47">
        <v>0.3</v>
      </c>
      <c r="K50" s="47">
        <v>0.3</v>
      </c>
      <c r="L50" s="47">
        <v>0.3</v>
      </c>
      <c r="M50" s="47">
        <v>0.3</v>
      </c>
      <c r="N50" s="47">
        <v>0.3</v>
      </c>
      <c r="O50" s="47">
        <v>0.3</v>
      </c>
      <c r="P50" s="47">
        <v>0.3</v>
      </c>
      <c r="Q50" s="47">
        <v>0.3</v>
      </c>
      <c r="R50" s="47">
        <v>0.3</v>
      </c>
      <c r="S50" s="47">
        <v>0.32</v>
      </c>
      <c r="T50" s="47">
        <v>0.32</v>
      </c>
      <c r="U50" s="48">
        <v>0.32</v>
      </c>
      <c r="V50" s="49">
        <f>IFERROR(V49/V47, "0")</f>
        <v>0.3089205807</v>
      </c>
    </row>
    <row r="51">
      <c r="A51" s="69" t="s">
        <v>48</v>
      </c>
      <c r="B51" s="70">
        <f t="shared" ref="B51:U51" si="39">B49*1000</f>
        <v>105656.25</v>
      </c>
      <c r="C51" s="70">
        <f t="shared" si="39"/>
        <v>126787.5</v>
      </c>
      <c r="D51" s="70">
        <f t="shared" si="39"/>
        <v>152145</v>
      </c>
      <c r="E51" s="70">
        <f t="shared" si="39"/>
        <v>228217.5</v>
      </c>
      <c r="F51" s="70">
        <f t="shared" si="39"/>
        <v>365148</v>
      </c>
      <c r="G51" s="70">
        <f t="shared" si="39"/>
        <v>474692.4</v>
      </c>
      <c r="H51" s="70">
        <f t="shared" si="39"/>
        <v>664569.36</v>
      </c>
      <c r="I51" s="70">
        <f t="shared" si="39"/>
        <v>930397.104</v>
      </c>
      <c r="J51" s="70">
        <f t="shared" si="39"/>
        <v>1023436.814</v>
      </c>
      <c r="K51" s="70">
        <f t="shared" si="39"/>
        <v>1125780.496</v>
      </c>
      <c r="L51" s="70">
        <f t="shared" si="39"/>
        <v>1407225.62</v>
      </c>
      <c r="M51" s="70">
        <f t="shared" si="39"/>
        <v>1970115.868</v>
      </c>
      <c r="N51" s="70">
        <f t="shared" si="39"/>
        <v>2561150.628</v>
      </c>
      <c r="O51" s="70">
        <f t="shared" si="39"/>
        <v>3329495.816</v>
      </c>
      <c r="P51" s="70">
        <f t="shared" si="39"/>
        <v>3995394.98</v>
      </c>
      <c r="Q51" s="70">
        <f t="shared" si="39"/>
        <v>4794473.976</v>
      </c>
      <c r="R51" s="70">
        <f t="shared" si="39"/>
        <v>5753368.771</v>
      </c>
      <c r="S51" s="70">
        <f t="shared" si="39"/>
        <v>7057465.692</v>
      </c>
      <c r="T51" s="70">
        <f t="shared" si="39"/>
        <v>8116085.546</v>
      </c>
      <c r="U51" s="71">
        <f t="shared" si="39"/>
        <v>9739302.655</v>
      </c>
      <c r="V51" s="44">
        <f t="shared" ref="V51:V52" si="41">SUM(B51:U51)</f>
        <v>53920909.98</v>
      </c>
    </row>
    <row r="52">
      <c r="A52" s="69" t="s">
        <v>59</v>
      </c>
      <c r="B52" s="70">
        <f t="shared" ref="B52:U52" si="40">B14+B15</f>
        <v>300000</v>
      </c>
      <c r="C52" s="70">
        <f t="shared" si="40"/>
        <v>350000</v>
      </c>
      <c r="D52" s="70">
        <f t="shared" si="40"/>
        <v>450000</v>
      </c>
      <c r="E52" s="70">
        <f t="shared" si="40"/>
        <v>450000</v>
      </c>
      <c r="F52" s="70">
        <f t="shared" si="40"/>
        <v>450000</v>
      </c>
      <c r="G52" s="70">
        <f t="shared" si="40"/>
        <v>550000</v>
      </c>
      <c r="H52" s="70">
        <f t="shared" si="40"/>
        <v>550000</v>
      </c>
      <c r="I52" s="70">
        <f t="shared" si="40"/>
        <v>600000</v>
      </c>
      <c r="J52" s="70">
        <f t="shared" si="40"/>
        <v>650000</v>
      </c>
      <c r="K52" s="70">
        <f t="shared" si="40"/>
        <v>650000</v>
      </c>
      <c r="L52" s="70">
        <f t="shared" si="40"/>
        <v>650000</v>
      </c>
      <c r="M52" s="70">
        <f t="shared" si="40"/>
        <v>700000</v>
      </c>
      <c r="N52" s="70">
        <f t="shared" si="40"/>
        <v>700000</v>
      </c>
      <c r="O52" s="70">
        <f t="shared" si="40"/>
        <v>800000</v>
      </c>
      <c r="P52" s="70">
        <f t="shared" si="40"/>
        <v>900000</v>
      </c>
      <c r="Q52" s="70">
        <f t="shared" si="40"/>
        <v>900000</v>
      </c>
      <c r="R52" s="70">
        <f t="shared" si="40"/>
        <v>900000</v>
      </c>
      <c r="S52" s="70">
        <f t="shared" si="40"/>
        <v>900000</v>
      </c>
      <c r="T52" s="70">
        <f t="shared" si="40"/>
        <v>900000</v>
      </c>
      <c r="U52" s="71">
        <f t="shared" si="40"/>
        <v>900000</v>
      </c>
      <c r="V52" s="44">
        <f t="shared" si="41"/>
        <v>13250000</v>
      </c>
    </row>
    <row r="53">
      <c r="A53" s="69" t="s">
        <v>60</v>
      </c>
      <c r="B53" s="47">
        <f t="shared" ref="B53:V53" si="42">IFERROR((B51-B52)/B51, "0")</f>
        <v>-1.839396628</v>
      </c>
      <c r="C53" s="47">
        <f t="shared" si="42"/>
        <v>-1.7605245</v>
      </c>
      <c r="D53" s="47">
        <f t="shared" si="42"/>
        <v>-1.957704821</v>
      </c>
      <c r="E53" s="47">
        <f t="shared" si="42"/>
        <v>-0.971803214</v>
      </c>
      <c r="F53" s="47">
        <f t="shared" si="42"/>
        <v>-0.2323770088</v>
      </c>
      <c r="G53" s="47">
        <f t="shared" si="42"/>
        <v>-0.158645051</v>
      </c>
      <c r="H53" s="47">
        <f t="shared" si="42"/>
        <v>0.1723963922</v>
      </c>
      <c r="I53" s="47">
        <f t="shared" si="42"/>
        <v>0.3551140718</v>
      </c>
      <c r="J53" s="47">
        <f t="shared" si="42"/>
        <v>0.3648850707</v>
      </c>
      <c r="K53" s="47">
        <f t="shared" si="42"/>
        <v>0.4226227916</v>
      </c>
      <c r="L53" s="47">
        <f t="shared" si="42"/>
        <v>0.5380982333</v>
      </c>
      <c r="M53" s="47">
        <f t="shared" si="42"/>
        <v>0.6446909487</v>
      </c>
      <c r="N53" s="47">
        <f t="shared" si="42"/>
        <v>0.7266853451</v>
      </c>
      <c r="O53" s="47">
        <f t="shared" si="42"/>
        <v>0.7597233803</v>
      </c>
      <c r="P53" s="47">
        <f t="shared" si="42"/>
        <v>0.7747406691</v>
      </c>
      <c r="Q53" s="47">
        <f t="shared" si="42"/>
        <v>0.8122838909</v>
      </c>
      <c r="R53" s="47">
        <f t="shared" si="42"/>
        <v>0.8435699091</v>
      </c>
      <c r="S53" s="47">
        <f t="shared" si="42"/>
        <v>0.8724754693</v>
      </c>
      <c r="T53" s="47">
        <f t="shared" si="42"/>
        <v>0.8891091038</v>
      </c>
      <c r="U53" s="48">
        <f t="shared" si="42"/>
        <v>0.9075909198</v>
      </c>
      <c r="V53" s="49">
        <f t="shared" si="42"/>
        <v>0.7542697257</v>
      </c>
    </row>
    <row r="54">
      <c r="A54" s="72" t="s">
        <v>61</v>
      </c>
      <c r="B54" s="73"/>
      <c r="C54" s="73"/>
      <c r="D54" s="73"/>
      <c r="E54" s="73"/>
      <c r="F54" s="73"/>
      <c r="G54" s="73"/>
      <c r="H54" s="73"/>
      <c r="I54" s="73"/>
      <c r="J54" s="73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</row>
    <row r="55">
      <c r="A55" s="74" t="s">
        <v>62</v>
      </c>
      <c r="B55" s="42">
        <v>0.0</v>
      </c>
      <c r="C55" s="42">
        <v>0.0</v>
      </c>
      <c r="D55" s="42">
        <v>50.0</v>
      </c>
      <c r="E55" s="42">
        <f>2.7*D55</f>
        <v>135</v>
      </c>
      <c r="F55" s="42">
        <f>2.25*E55</f>
        <v>303.75</v>
      </c>
      <c r="G55" s="42">
        <f>1.94*F55</f>
        <v>589.275</v>
      </c>
      <c r="H55" s="42">
        <f>1.7*G55</f>
        <v>1001.7675</v>
      </c>
      <c r="I55" s="42">
        <f>1.5*H55</f>
        <v>1502.65125</v>
      </c>
      <c r="J55" s="42">
        <f t="shared" ref="J55:K55" si="43">1.1*I55</f>
        <v>1652.916375</v>
      </c>
      <c r="K55" s="42">
        <f t="shared" si="43"/>
        <v>1818.208013</v>
      </c>
      <c r="L55" s="42">
        <f>1.15*K55</f>
        <v>2090.939214</v>
      </c>
      <c r="M55" s="42">
        <f t="shared" ref="M55:T55" si="44">1.2*L55</f>
        <v>2509.127057</v>
      </c>
      <c r="N55" s="42">
        <f t="shared" si="44"/>
        <v>3010.952469</v>
      </c>
      <c r="O55" s="42">
        <f t="shared" si="44"/>
        <v>3613.142962</v>
      </c>
      <c r="P55" s="42">
        <f t="shared" si="44"/>
        <v>4335.771555</v>
      </c>
      <c r="Q55" s="42">
        <f t="shared" si="44"/>
        <v>5202.925866</v>
      </c>
      <c r="R55" s="42">
        <f t="shared" si="44"/>
        <v>6243.511039</v>
      </c>
      <c r="S55" s="42">
        <f t="shared" si="44"/>
        <v>7492.213247</v>
      </c>
      <c r="T55" s="42">
        <f t="shared" si="44"/>
        <v>8990.655896</v>
      </c>
      <c r="U55" s="43">
        <f>1.1*T55</f>
        <v>9889.721486</v>
      </c>
      <c r="V55" s="44">
        <f t="shared" ref="V55:V56" si="46">SUM(B55:U55)</f>
        <v>60432.52893</v>
      </c>
    </row>
    <row r="56">
      <c r="A56" s="74" t="s">
        <v>51</v>
      </c>
      <c r="B56" s="42">
        <f t="shared" ref="B56:U56" si="45">B55*B57</f>
        <v>0</v>
      </c>
      <c r="C56" s="42">
        <f t="shared" si="45"/>
        <v>0</v>
      </c>
      <c r="D56" s="42">
        <f t="shared" si="45"/>
        <v>22.5</v>
      </c>
      <c r="E56" s="42">
        <f t="shared" si="45"/>
        <v>60.75</v>
      </c>
      <c r="F56" s="42">
        <f t="shared" si="45"/>
        <v>136.6875</v>
      </c>
      <c r="G56" s="42">
        <f t="shared" si="45"/>
        <v>265.17375</v>
      </c>
      <c r="H56" s="42">
        <f t="shared" si="45"/>
        <v>450.795375</v>
      </c>
      <c r="I56" s="42">
        <f t="shared" si="45"/>
        <v>676.1930625</v>
      </c>
      <c r="J56" s="42">
        <f t="shared" si="45"/>
        <v>743.8123688</v>
      </c>
      <c r="K56" s="42">
        <f t="shared" si="45"/>
        <v>818.1936056</v>
      </c>
      <c r="L56" s="42">
        <f t="shared" si="45"/>
        <v>940.9226465</v>
      </c>
      <c r="M56" s="42">
        <f t="shared" si="45"/>
        <v>1129.107176</v>
      </c>
      <c r="N56" s="42">
        <f t="shared" si="45"/>
        <v>1354.928611</v>
      </c>
      <c r="O56" s="42">
        <f t="shared" si="45"/>
        <v>1625.914333</v>
      </c>
      <c r="P56" s="42">
        <f t="shared" si="45"/>
        <v>1951.0972</v>
      </c>
      <c r="Q56" s="42">
        <f t="shared" si="45"/>
        <v>2341.31664</v>
      </c>
      <c r="R56" s="42">
        <f t="shared" si="45"/>
        <v>2809.579968</v>
      </c>
      <c r="S56" s="42">
        <f t="shared" si="45"/>
        <v>3371.495961</v>
      </c>
      <c r="T56" s="42">
        <f t="shared" si="45"/>
        <v>4045.795153</v>
      </c>
      <c r="U56" s="43">
        <f t="shared" si="45"/>
        <v>4450.374669</v>
      </c>
      <c r="V56" s="44">
        <f t="shared" si="46"/>
        <v>27194.63802</v>
      </c>
    </row>
    <row r="57">
      <c r="A57" s="75" t="s">
        <v>52</v>
      </c>
      <c r="B57" s="47">
        <v>0.45</v>
      </c>
      <c r="C57" s="47">
        <v>0.45</v>
      </c>
      <c r="D57" s="47">
        <v>0.45</v>
      </c>
      <c r="E57" s="47">
        <v>0.45</v>
      </c>
      <c r="F57" s="47">
        <v>0.45</v>
      </c>
      <c r="G57" s="47">
        <v>0.45</v>
      </c>
      <c r="H57" s="47">
        <v>0.45</v>
      </c>
      <c r="I57" s="47">
        <v>0.45</v>
      </c>
      <c r="J57" s="47">
        <v>0.45</v>
      </c>
      <c r="K57" s="47">
        <v>0.45</v>
      </c>
      <c r="L57" s="47">
        <v>0.45</v>
      </c>
      <c r="M57" s="47">
        <v>0.45</v>
      </c>
      <c r="N57" s="47">
        <v>0.45</v>
      </c>
      <c r="O57" s="47">
        <v>0.45</v>
      </c>
      <c r="P57" s="47">
        <v>0.45</v>
      </c>
      <c r="Q57" s="47">
        <v>0.45</v>
      </c>
      <c r="R57" s="47">
        <v>0.45</v>
      </c>
      <c r="S57" s="47">
        <v>0.45</v>
      </c>
      <c r="T57" s="47">
        <v>0.45</v>
      </c>
      <c r="U57" s="48">
        <v>0.45</v>
      </c>
      <c r="V57" s="49">
        <f>AVERAGE(U57,T57,S57,R57,Q57,P57,O57,N57,M57,M57,L57,K57,J57)</f>
        <v>0.45</v>
      </c>
    </row>
    <row r="58">
      <c r="A58" s="74" t="s">
        <v>53</v>
      </c>
      <c r="B58" s="66">
        <f t="shared" ref="B58:I58" si="47">B59*B56</f>
        <v>0</v>
      </c>
      <c r="C58" s="66">
        <f t="shared" si="47"/>
        <v>0</v>
      </c>
      <c r="D58" s="66">
        <f t="shared" si="47"/>
        <v>7.875</v>
      </c>
      <c r="E58" s="66">
        <f t="shared" si="47"/>
        <v>21.2625</v>
      </c>
      <c r="F58" s="66">
        <f t="shared" si="47"/>
        <v>47.840625</v>
      </c>
      <c r="G58" s="66">
        <f t="shared" si="47"/>
        <v>92.8108125</v>
      </c>
      <c r="H58" s="66">
        <f t="shared" si="47"/>
        <v>157.7783813</v>
      </c>
      <c r="I58" s="66">
        <f t="shared" si="47"/>
        <v>236.6675719</v>
      </c>
      <c r="J58" s="66">
        <f t="shared" ref="J58:N58" si="48">J56*J59</f>
        <v>260.3343291</v>
      </c>
      <c r="K58" s="66">
        <f t="shared" si="48"/>
        <v>286.367762</v>
      </c>
      <c r="L58" s="66">
        <f t="shared" si="48"/>
        <v>329.3229263</v>
      </c>
      <c r="M58" s="66">
        <f t="shared" si="48"/>
        <v>395.1875115</v>
      </c>
      <c r="N58" s="66">
        <f t="shared" si="48"/>
        <v>474.2250138</v>
      </c>
      <c r="O58" s="66">
        <f t="shared" ref="O58:U58" si="49">O59*O56</f>
        <v>569.0700166</v>
      </c>
      <c r="P58" s="66">
        <f t="shared" si="49"/>
        <v>682.8840199</v>
      </c>
      <c r="Q58" s="66">
        <f t="shared" si="49"/>
        <v>819.4608239</v>
      </c>
      <c r="R58" s="66">
        <f t="shared" si="49"/>
        <v>983.3529887</v>
      </c>
      <c r="S58" s="66">
        <f t="shared" si="49"/>
        <v>1180.023586</v>
      </c>
      <c r="T58" s="66">
        <f t="shared" si="49"/>
        <v>1416.028304</v>
      </c>
      <c r="U58" s="67">
        <f t="shared" si="49"/>
        <v>1557.631134</v>
      </c>
      <c r="V58" s="44">
        <f>SUM(B58:U58)</f>
        <v>9518.123306</v>
      </c>
    </row>
    <row r="59">
      <c r="A59" s="75" t="s">
        <v>45</v>
      </c>
      <c r="B59" s="47">
        <v>0.35</v>
      </c>
      <c r="C59" s="47">
        <v>0.35</v>
      </c>
      <c r="D59" s="47">
        <v>0.35</v>
      </c>
      <c r="E59" s="47">
        <v>0.35</v>
      </c>
      <c r="F59" s="47">
        <v>0.35</v>
      </c>
      <c r="G59" s="47">
        <v>0.35</v>
      </c>
      <c r="H59" s="47">
        <v>0.35</v>
      </c>
      <c r="I59" s="47">
        <v>0.35</v>
      </c>
      <c r="J59" s="47">
        <v>0.35</v>
      </c>
      <c r="K59" s="47">
        <v>0.35</v>
      </c>
      <c r="L59" s="47">
        <v>0.35</v>
      </c>
      <c r="M59" s="47">
        <v>0.35</v>
      </c>
      <c r="N59" s="47">
        <v>0.35</v>
      </c>
      <c r="O59" s="47">
        <v>0.35</v>
      </c>
      <c r="P59" s="47">
        <v>0.35</v>
      </c>
      <c r="Q59" s="47">
        <v>0.35</v>
      </c>
      <c r="R59" s="47">
        <v>0.35</v>
      </c>
      <c r="S59" s="47">
        <v>0.35</v>
      </c>
      <c r="T59" s="47">
        <v>0.35</v>
      </c>
      <c r="U59" s="48">
        <v>0.35</v>
      </c>
      <c r="V59" s="49">
        <f>IFERROR(V58/V56, "0")</f>
        <v>0.35</v>
      </c>
    </row>
    <row r="60">
      <c r="A60" s="74" t="s">
        <v>54</v>
      </c>
      <c r="B60" s="66">
        <f t="shared" ref="B60:U60" si="50">B61*B58</f>
        <v>0</v>
      </c>
      <c r="C60" s="66">
        <f t="shared" si="50"/>
        <v>0</v>
      </c>
      <c r="D60" s="66">
        <f t="shared" si="50"/>
        <v>3.15</v>
      </c>
      <c r="E60" s="66">
        <f t="shared" si="50"/>
        <v>8.505</v>
      </c>
      <c r="F60" s="66">
        <f t="shared" si="50"/>
        <v>19.13625</v>
      </c>
      <c r="G60" s="66">
        <f t="shared" si="50"/>
        <v>37.124325</v>
      </c>
      <c r="H60" s="66">
        <f t="shared" si="50"/>
        <v>63.1113525</v>
      </c>
      <c r="I60" s="66">
        <f t="shared" si="50"/>
        <v>94.66702875</v>
      </c>
      <c r="J60" s="66">
        <f t="shared" si="50"/>
        <v>104.1337316</v>
      </c>
      <c r="K60" s="66">
        <f t="shared" si="50"/>
        <v>114.5471048</v>
      </c>
      <c r="L60" s="66">
        <f t="shared" si="50"/>
        <v>131.7291705</v>
      </c>
      <c r="M60" s="66">
        <f t="shared" si="50"/>
        <v>158.0750046</v>
      </c>
      <c r="N60" s="66">
        <f t="shared" si="50"/>
        <v>189.6900055</v>
      </c>
      <c r="O60" s="66">
        <f t="shared" si="50"/>
        <v>227.6280066</v>
      </c>
      <c r="P60" s="66">
        <f t="shared" si="50"/>
        <v>273.153608</v>
      </c>
      <c r="Q60" s="66">
        <f t="shared" si="50"/>
        <v>327.7843296</v>
      </c>
      <c r="R60" s="66">
        <f t="shared" si="50"/>
        <v>393.3411955</v>
      </c>
      <c r="S60" s="66">
        <f t="shared" si="50"/>
        <v>472.0094346</v>
      </c>
      <c r="T60" s="66">
        <f t="shared" si="50"/>
        <v>566.4113215</v>
      </c>
      <c r="U60" s="67">
        <f t="shared" si="50"/>
        <v>623.0524536</v>
      </c>
      <c r="V60" s="44">
        <f>SUM(B60:U60)</f>
        <v>3807.249323</v>
      </c>
    </row>
    <row r="61">
      <c r="A61" s="75" t="s">
        <v>47</v>
      </c>
      <c r="B61" s="47">
        <v>0.4</v>
      </c>
      <c r="C61" s="47">
        <v>0.4</v>
      </c>
      <c r="D61" s="47">
        <v>0.4</v>
      </c>
      <c r="E61" s="47">
        <v>0.4</v>
      </c>
      <c r="F61" s="47">
        <v>0.4</v>
      </c>
      <c r="G61" s="47">
        <v>0.4</v>
      </c>
      <c r="H61" s="47">
        <v>0.4</v>
      </c>
      <c r="I61" s="47">
        <v>0.4</v>
      </c>
      <c r="J61" s="47">
        <v>0.4</v>
      </c>
      <c r="K61" s="47">
        <v>0.4</v>
      </c>
      <c r="L61" s="47">
        <v>0.4</v>
      </c>
      <c r="M61" s="47">
        <v>0.4</v>
      </c>
      <c r="N61" s="47">
        <v>0.4</v>
      </c>
      <c r="O61" s="47">
        <v>0.4</v>
      </c>
      <c r="P61" s="47">
        <v>0.4</v>
      </c>
      <c r="Q61" s="47">
        <v>0.4</v>
      </c>
      <c r="R61" s="47">
        <v>0.4</v>
      </c>
      <c r="S61" s="47">
        <v>0.4</v>
      </c>
      <c r="T61" s="47">
        <v>0.4</v>
      </c>
      <c r="U61" s="48">
        <v>0.4</v>
      </c>
      <c r="V61" s="49">
        <f>IFERROR(V60/V58, "0")</f>
        <v>0.4</v>
      </c>
    </row>
    <row r="62">
      <c r="A62" s="76" t="s">
        <v>48</v>
      </c>
      <c r="B62" s="51">
        <f t="shared" ref="B62:U62" si="51">B60*2000</f>
        <v>0</v>
      </c>
      <c r="C62" s="51">
        <f t="shared" si="51"/>
        <v>0</v>
      </c>
      <c r="D62" s="51">
        <f t="shared" si="51"/>
        <v>6300</v>
      </c>
      <c r="E62" s="51">
        <f t="shared" si="51"/>
        <v>17010</v>
      </c>
      <c r="F62" s="51">
        <f t="shared" si="51"/>
        <v>38272.5</v>
      </c>
      <c r="G62" s="51">
        <f t="shared" si="51"/>
        <v>74248.65</v>
      </c>
      <c r="H62" s="51">
        <f t="shared" si="51"/>
        <v>126222.705</v>
      </c>
      <c r="I62" s="51">
        <f t="shared" si="51"/>
        <v>189334.0575</v>
      </c>
      <c r="J62" s="51">
        <f t="shared" si="51"/>
        <v>208267.4633</v>
      </c>
      <c r="K62" s="51">
        <f t="shared" si="51"/>
        <v>229094.2096</v>
      </c>
      <c r="L62" s="51">
        <f t="shared" si="51"/>
        <v>263458.341</v>
      </c>
      <c r="M62" s="51">
        <f t="shared" si="51"/>
        <v>316150.0092</v>
      </c>
      <c r="N62" s="51">
        <f t="shared" si="51"/>
        <v>379380.0111</v>
      </c>
      <c r="O62" s="51">
        <f t="shared" si="51"/>
        <v>455256.0133</v>
      </c>
      <c r="P62" s="51">
        <f t="shared" si="51"/>
        <v>546307.2159</v>
      </c>
      <c r="Q62" s="51">
        <f t="shared" si="51"/>
        <v>655568.6591</v>
      </c>
      <c r="R62" s="51">
        <f t="shared" si="51"/>
        <v>786682.3909</v>
      </c>
      <c r="S62" s="51">
        <f t="shared" si="51"/>
        <v>944018.8691</v>
      </c>
      <c r="T62" s="51">
        <f t="shared" si="51"/>
        <v>1132822.643</v>
      </c>
      <c r="U62" s="52">
        <f t="shared" si="51"/>
        <v>1246104.907</v>
      </c>
      <c r="V62" s="44">
        <f t="shared" ref="V62:V63" si="54">SUM(B62:U62)</f>
        <v>7614498.645</v>
      </c>
    </row>
    <row r="63">
      <c r="A63" s="76" t="s">
        <v>63</v>
      </c>
      <c r="B63" s="51">
        <f t="shared" ref="B63:I63" si="52">B13</f>
        <v>200000</v>
      </c>
      <c r="C63" s="51">
        <f t="shared" si="52"/>
        <v>200000</v>
      </c>
      <c r="D63" s="51">
        <f t="shared" si="52"/>
        <v>300000</v>
      </c>
      <c r="E63" s="51">
        <f t="shared" si="52"/>
        <v>300000</v>
      </c>
      <c r="F63" s="51">
        <f t="shared" si="52"/>
        <v>300000</v>
      </c>
      <c r="G63" s="51">
        <f t="shared" si="52"/>
        <v>400000</v>
      </c>
      <c r="H63" s="51">
        <f t="shared" si="52"/>
        <v>400000</v>
      </c>
      <c r="I63" s="51">
        <f t="shared" si="52"/>
        <v>500000</v>
      </c>
      <c r="J63" s="51">
        <f t="shared" ref="J63:U63" si="53">J16</f>
        <v>200000</v>
      </c>
      <c r="K63" s="51">
        <f t="shared" si="53"/>
        <v>200000</v>
      </c>
      <c r="L63" s="51">
        <f t="shared" si="53"/>
        <v>200000</v>
      </c>
      <c r="M63" s="51">
        <f t="shared" si="53"/>
        <v>250000</v>
      </c>
      <c r="N63" s="51">
        <f t="shared" si="53"/>
        <v>250000</v>
      </c>
      <c r="O63" s="51">
        <f t="shared" si="53"/>
        <v>250000</v>
      </c>
      <c r="P63" s="51">
        <f t="shared" si="53"/>
        <v>250000</v>
      </c>
      <c r="Q63" s="51">
        <f t="shared" si="53"/>
        <v>250000</v>
      </c>
      <c r="R63" s="51">
        <f t="shared" si="53"/>
        <v>250000</v>
      </c>
      <c r="S63" s="51">
        <f t="shared" si="53"/>
        <v>250000</v>
      </c>
      <c r="T63" s="51">
        <f t="shared" si="53"/>
        <v>250000</v>
      </c>
      <c r="U63" s="52">
        <f t="shared" si="53"/>
        <v>250000</v>
      </c>
      <c r="V63" s="44">
        <f t="shared" si="54"/>
        <v>5450000</v>
      </c>
    </row>
    <row r="64">
      <c r="A64" s="77" t="s">
        <v>64</v>
      </c>
      <c r="B64" s="47" t="str">
        <f t="shared" ref="B64:V64" si="55">IFERROR((B62-B63)/B62, "0")</f>
        <v>0</v>
      </c>
      <c r="C64" s="47" t="str">
        <f t="shared" si="55"/>
        <v>0</v>
      </c>
      <c r="D64" s="47">
        <f t="shared" si="55"/>
        <v>-46.61904762</v>
      </c>
      <c r="E64" s="47">
        <f t="shared" si="55"/>
        <v>-16.6366843</v>
      </c>
      <c r="F64" s="47">
        <f t="shared" si="55"/>
        <v>-6.838526357</v>
      </c>
      <c r="G64" s="47">
        <f t="shared" si="55"/>
        <v>-4.387303338</v>
      </c>
      <c r="H64" s="47">
        <f t="shared" si="55"/>
        <v>-2.169001964</v>
      </c>
      <c r="I64" s="47">
        <f t="shared" si="55"/>
        <v>-1.64083497</v>
      </c>
      <c r="J64" s="47">
        <f t="shared" si="55"/>
        <v>0.03969637466</v>
      </c>
      <c r="K64" s="47">
        <f t="shared" si="55"/>
        <v>0.1269967042</v>
      </c>
      <c r="L64" s="47">
        <f t="shared" si="55"/>
        <v>0.2408666993</v>
      </c>
      <c r="M64" s="47">
        <f t="shared" si="55"/>
        <v>0.2092361451</v>
      </c>
      <c r="N64" s="47">
        <f t="shared" si="55"/>
        <v>0.3410301209</v>
      </c>
      <c r="O64" s="47">
        <f t="shared" si="55"/>
        <v>0.4508584341</v>
      </c>
      <c r="P64" s="47">
        <f t="shared" si="55"/>
        <v>0.5423820284</v>
      </c>
      <c r="Q64" s="47">
        <f t="shared" si="55"/>
        <v>0.6186516904</v>
      </c>
      <c r="R64" s="47">
        <f t="shared" si="55"/>
        <v>0.682209742</v>
      </c>
      <c r="S64" s="47">
        <f t="shared" si="55"/>
        <v>0.735174785</v>
      </c>
      <c r="T64" s="47">
        <f t="shared" si="55"/>
        <v>0.7793123208</v>
      </c>
      <c r="U64" s="48">
        <f t="shared" si="55"/>
        <v>0.7993748371</v>
      </c>
      <c r="V64" s="49">
        <f t="shared" si="55"/>
        <v>0.2842601655</v>
      </c>
    </row>
  </sheetData>
  <mergeCells count="7">
    <mergeCell ref="A1:A2"/>
    <mergeCell ref="B3:V3"/>
    <mergeCell ref="B12:V12"/>
    <mergeCell ref="B21:V21"/>
    <mergeCell ref="B31:V31"/>
    <mergeCell ref="B43:V43"/>
    <mergeCell ref="J54:V54"/>
  </mergeCells>
  <drawing r:id="rId1"/>
</worksheet>
</file>